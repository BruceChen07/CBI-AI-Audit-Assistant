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codeName="ThisWorkbook"/>
  <mc:AlternateContent xmlns:mc="http://schemas.openxmlformats.org/markup-compatibility/2006">
    <mc:Choice Requires="x15">
      <x15ac:absPath xmlns:x15ac="http://schemas.microsoft.com/office/spreadsheetml/2010/11/ac" url="https://mydrive.effem.com/personal/bruce_chen_effem_com/Documents/Work/WorkSpace/hackathon/sampledata/"/>
    </mc:Choice>
  </mc:AlternateContent>
  <xr:revisionPtr revIDLastSave="20" documentId="13_ncr:1_{2F56295E-5A73-467C-8B35-569DCF039A7B}" xr6:coauthVersionLast="47" xr6:coauthVersionMax="47" xr10:uidLastSave="{107E690E-E96E-407A-95CB-80792E86CAE5}"/>
  <bookViews>
    <workbookView minimized="1" xWindow="732" yWindow="732" windowWidth="17280" windowHeight="9960" tabRatio="568" xr2:uid="{00000000-000D-0000-FFFF-FFFF00000000}"/>
  </bookViews>
  <sheets>
    <sheet name="Audit Document" sheetId="1" r:id="rId1"/>
    <sheet name="Classifications" sheetId="2" r:id="rId2"/>
  </sheets>
  <definedNames>
    <definedName name="AM_AD_AUDIT_DUE_DATE_P">'Audit Document'!$C$3</definedName>
    <definedName name="AM_AUDIT_SUPPLIER_INFO_SF_P.AM_A_SUP_NUM_NAME_P">'Audit Document'!$B$3</definedName>
    <definedName name="AM_AUDIT_SUPPLIER_INFO_SF_P.AM_A_SUP_NUM_NAME_P.END">'Audit Document'!$B$4</definedName>
    <definedName name="ETQ_AUDITS_AUDIT_LEAD_AUDITOR">'Audit Document'!$D$3</definedName>
    <definedName name="ETQ_AUDITS_AUDIT_TYPE">'Audit Document'!$A$3</definedName>
    <definedName name="ETQ_CHECKLIST_DOCUMENT.AM_CD_ELEMENT_D">'Audit Document'!$B$7</definedName>
    <definedName name="ETQ_CHECKLIST_DOCUMENT.AM_CD_ELEMENT_D.END">'Audit Document'!$B$700</definedName>
    <definedName name="ETQ_CHECKLIST_DOCUMENT.ETQ_AUDITS_CHECKLIST_NAME">'Audit Document'!$A$7</definedName>
    <definedName name="ETQ_CHECKLIST_DOCUMENT.ETQ_AUDITS_CHECKLIST_NAME.END">'Audit Document'!$A$700</definedName>
    <definedName name="ETQ_CHECKLIST_QUESTIONS.ETQ_CHECKLIST_QUESTION_CLASSIFICATION">'Audit Document'!$E$7</definedName>
    <definedName name="ETQ_CHECKLIST_QUESTIONS.ETQ_CHECKLIST_QUESTION_CLASSIFICATION.END">'Audit Document'!$E$700</definedName>
    <definedName name="ETQ_CHECKLIST_QUESTIONS.ETQ_CHECKLIST_QUESTION_COMMENTS">'Audit Document'!$F$7</definedName>
    <definedName name="ETQ_CHECKLIST_QUESTIONS.ETQ_CHECKLIST_QUESTION_COMMENTS.END">'Audit Document'!$F$700</definedName>
    <definedName name="ETQ_CHECKLIST_QUESTIONS.ETQ_CHECKLIST_QUESTION_HINT">'Audit Document'!$D$7</definedName>
    <definedName name="ETQ_CHECKLIST_QUESTIONS.ETQ_CHECKLIST_QUESTION_HINT.END">'Audit Document'!$D$700</definedName>
    <definedName name="ETQ_CHECKLIST_QUESTIONS.ETQ_CHECKLIST_QUESTION_PREVIOUS_COMMENTS">'Audit Document'!$G$7</definedName>
    <definedName name="ETQ_CHECKLIST_QUESTIONS.ETQ_CHECKLIST_QUESTION_PREVIOUS_COMMENTS.END">'Audit Document'!$G$700</definedName>
    <definedName name="ETQ_CHECKLIST_QUESTIONS.ETQ_CHECKLIST_QUESTION_QUESTION">'Audit Document'!$C$7</definedName>
    <definedName name="ETQ_CHECKLIST_QUESTIONS.ETQ_CHECKLIST_QUESTION_QUESTION.END">'Audit Document'!$C$700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2" i="1" l="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21" i="1"/>
  <c r="J59" i="1"/>
  <c r="J71" i="1"/>
  <c r="J74" i="1"/>
  <c r="J68" i="1"/>
  <c r="J69" i="1"/>
  <c r="J70" i="1"/>
  <c r="J72" i="1"/>
  <c r="J73" i="1"/>
  <c r="J67" i="1"/>
  <c r="J66" i="1"/>
  <c r="J65" i="1"/>
  <c r="J64" i="1"/>
  <c r="J63" i="1"/>
  <c r="J62" i="1"/>
  <c r="J61" i="1"/>
  <c r="J60"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I20" i="1" s="1"/>
  <c r="J19" i="1"/>
  <c r="I19" i="1" s="1"/>
  <c r="J18" i="1"/>
  <c r="I18" i="1" s="1"/>
  <c r="J17" i="1"/>
  <c r="I17" i="1" s="1"/>
  <c r="J16" i="1"/>
  <c r="I16" i="1" s="1"/>
  <c r="J15" i="1"/>
  <c r="I15" i="1" s="1"/>
  <c r="J14" i="1"/>
  <c r="I14" i="1" s="1"/>
  <c r="J13" i="1"/>
  <c r="I13" i="1" s="1"/>
  <c r="J12" i="1"/>
  <c r="I12" i="1"/>
  <c r="J11" i="1"/>
  <c r="I11" i="1"/>
  <c r="J10" i="1"/>
  <c r="I10" i="1"/>
  <c r="J9" i="1"/>
  <c r="I9" i="1" s="1"/>
  <c r="J8" i="1"/>
  <c r="I8" i="1" s="1"/>
  <c r="J7" i="1"/>
  <c r="I7" i="1" s="1"/>
</calcChain>
</file>

<file path=xl/sharedStrings.xml><?xml version="1.0" encoding="utf-8"?>
<sst xmlns="http://schemas.openxmlformats.org/spreadsheetml/2006/main" count="4745" uniqueCount="305">
  <si>
    <t>Hint</t>
  </si>
  <si>
    <t>Previous Comments</t>
  </si>
  <si>
    <t>Classification</t>
  </si>
  <si>
    <t>Not Applicable</t>
  </si>
  <si>
    <t>Classifications</t>
  </si>
  <si>
    <t>Compliant</t>
  </si>
  <si>
    <t>Critical</t>
  </si>
  <si>
    <t>Major</t>
  </si>
  <si>
    <t>Minor</t>
  </si>
  <si>
    <t>Not Audited</t>
  </si>
  <si>
    <t>Requires Correction (RC)</t>
  </si>
  <si>
    <t>Scope for Improvement (SFI)</t>
  </si>
  <si>
    <t>Element</t>
  </si>
  <si>
    <t>Chapter</t>
  </si>
  <si>
    <t>Criteria</t>
  </si>
  <si>
    <t>Supplier Name</t>
  </si>
  <si>
    <t>Audit Date</t>
  </si>
  <si>
    <t>Lead Auditor</t>
  </si>
  <si>
    <t>Audit Protocol:</t>
  </si>
  <si>
    <t>Goods Manufacturing Audit Protocol ( extended lab ) 2021</t>
  </si>
  <si>
    <t>17594497 - Brightmoon Qingdao</t>
  </si>
  <si>
    <t>May 13, 2025</t>
  </si>
  <si>
    <t>Liu, Jackson</t>
  </si>
  <si>
    <t>Leadership</t>
  </si>
  <si>
    <t>QMPv3 9.1.1 Scope</t>
  </si>
  <si>
    <t>Q&amp;FS System_x000D_
_x000D_
The supplier has a quality and food safety system that incorporates all activities that have an impact on the Q&amp;FS of material / product produced."</t>
  </si>
  <si>
    <t>The business has a Q&amp;FS management system defined that is appropriate to the industry. _x000D_
The scope covers the business processes and the final materials / products / services rendered. Any exclusions are justified by risk assessment._x000D_
The operation and visibility of the Q&amp;FS Management System is an indication of the Quality culture of the organisation where more overt quality objectives and quality communications are more consistent with higher quality culture._x000D_
The Q&amp;FS management system is reviewed and updated in alignment with management/leadership expectations and oversight._x000D_
_x000D_
Evidence:_x000D_
 * A quality manual that defines the scope of the system , this includes all activities (internal and outsourced),  that can have an impact on the quality and safety of the materials/products/services supplied to Mars, and their operations._x000D_
* The Quality Manual could include purchasing, production, customer complaints, traceability, critical incident and recall procedures, laboratory, management reviews, transport and warehousing_x000D_
* Examples of documented procedures include management of outsourced activities that can impact Q&amp;FS. (e.g. pest management, cleaning and sanitation, transport logistics, storage, co-manufacturing/co-packing , training, laboratory analysis, calibration of testing equipment &amp; maintenance of infrastructure)._x000D_
 *These activities may be managed by the purchasing function &amp; the Q&amp;FS controls needs to be identified and documented._x000D_
 * A quality plan with overt quality objectives and a communication cascade of quality objectives and performance across the organisation.</t>
  </si>
  <si>
    <t/>
  </si>
  <si>
    <t>QMPv3 9.2.1 Management Leadership and Commitment</t>
  </si>
  <si>
    <t>Management Leadership and commitment_x000D_
_x000D_
Management demonstrates visible accountability , leadership and commitment</t>
  </si>
  <si>
    <t>Management is aware of the importance of the Q&amp;FS system, understands the relevant Q&amp;FS issues and communicates its commitment through a Q&amp;FS policy.  Demonstration of quality leadership and accountability is an indicator of the health of the organisations quality culture and fit with Mars._x000D_
_x000D_
Evidence:-_x000D_
* Communication of the Quality policy, _x000D_
* Resources (budget, people, equipment) are in place as needed._x000D_
* Senior management attendance at management reviews and quality meetings and management review is guided by the Quality Policy ,_x000D_
* Q&amp;FS policy is available , and communicated (e.g. displayed on notice boards). * The company's vision and mission are clearly expressed sand understood by all employees._x000D_
* Look for examples of how the policy supports meeting customer &amp; regulatory requirements and how it is used in decision making. e.g.  Internal communication of KPIs (internal reports, notice boards).   _x000D_
* specific quality focused objectives and KPI's; e.g.: reduction in customer/supplier complaints, Training on quality topics.    _x000D_
* Actions that are assigned to Management Team are closed._x000D_
* Management Review and Quality Meetings actions are closed and reviewed in these forums..</t>
  </si>
  <si>
    <t>QMPv3 9.2.3 Organizational Roles, Responsibilities and Authorities</t>
  </si>
  <si>
    <t>Accountable and qualified personal_x000D_
 _x000D_
Management has appointed qualified personnel to be accountable for Q&amp;FS.</t>
  </si>
  <si>
    <t>Roles critical for the delivery of Q&amp;FS (and back ups) are in place within the organisation, with accountabilities and responsibilities clearly defined._x000D_
These roles are filled with appropriately qualified personal.   _x000D_
External personnel that assist with activities that impact Q&amp;FS understand their responsibilities._x000D_
_x000D_
Evidence:-_x000D_
* Organization charts for all management team members and personnel undertaking quality activities._x000D_
* Proof of qualification for quality personal._x000D_
* Competence assessments of Consultants and other externally contracted roles_x000D_
* Deputy roles identified for critical Q&amp;FS activities (such as; quality leader, Training facilitators, food safety team leader, food safety team members, laboratory staff, sampling and assessment personal, continous improvment project leaders and external communication personnel)._x000D_
* Individuals are assigned (named people) and back ups (trained deputy roles) and contingency plans are described.  _x000D_
*HACCP/PCQI training and certification records of responsible associates.</t>
  </si>
  <si>
    <t>PLAN</t>
  </si>
  <si>
    <t>QMPv3 9.3.1 Addressing Risks and Opportunities</t>
  </si>
  <si>
    <t>Risk and Opportunities   Management has identified, assessed and actioned business Risks and Opportunities to meet customer expectations.</t>
  </si>
  <si>
    <t>The business identifies, assesses, consolidates and prioritises relevant risks and opportunities related to the business that need to be addressed.  This should include internal and external factors, ensuring that the needs of the customer are met.  Short and longer term risks and opportunities should be assessed. _x000D_
_x000D_
Evidence:-_x000D_
* Intelligence that identifies potential hazards or risks to the business?_x000D_
* How internal/ external factors are evaluated. _x000D_
* How changes are anticipated, managed and responded to._x000D_
* How learnings from the past experiences and incidents are used to prepare for the future?_x000D_
* Food fraud vulnerabilities are assessed and actioned._x000D_
* Risk assessment to establish the relative priorities of the risk and opportunities_x000D_
* Appropriate and effective actions to address these risks and opportunities_x000D_
* Description on how responses are implemented and integrated into the Management System and their effectiveness evaluated._x000D_
* The business strategy enables fast and effective response, with appropriate governance to ensure the right decisions are made?_x000D_
* Opportunities identified that are related to the quality of the product/service_x000D_
* Evaluation and communication of industry best practices or regulatory changes</t>
  </si>
  <si>
    <t>QMPv3 9.3.1.3 Specific Risks for Food Production incl QMP 11.1..1 Food Defense Threat assessment</t>
  </si>
  <si>
    <t>Food Defense_x000D_
A food defence program is in place to prevent potential acts of sabotage, vandalism or terrorism.</t>
  </si>
  <si>
    <t>As appropriate for the industry, Vulnerability and Focused Mitigation Measures are required.  This includes: _x000D_
- Actionable process steps must be identified through a documented food defence vulnerability (threat) assessment mapped out for the entire supply chain. There must be clear and consistent justification for inclusion or exclusion of a process step as an actionable process step. _x000D_
- All actionable process steps must be managed via appropriate mitigation measures. Where feasible, access should be physically restricted by the use of locks, electronic card key or alternative systems._x000D_
- Records must be available as evidence of the monitoring and verification of mitigation measures defined in the food defence plan. _x000D_
- All materials and finished products must be secure at all times while in storage or while being moved through the supply chain._x000D_
_x000D_
Evidence:-_x000D_
* Accessibility and Broad Mitigation Measures_x000D_
Accessibility areas to consider include; security of IT systems, site facilities, transport vehicles, external warehouses, storage and management of confidential information and screening of personnel._x000D_
* Site access should be restricted to appropriate personnel.  Where possible, deliveries should be restricted to core working hours unless by prior arrangement. Access permission should be immediately removed for staff/contractors leaving employment._x000D_
* Has the supplier completed the "Mars Supplier Food Defense Assessment Checklist" prior to the audit? If so follow up on any questions that the supplier has answered with "no" to see what actions are being taken to address this as a potential area of vulnerability</t>
  </si>
  <si>
    <t>QMPv3 9.3.1.3 Specific Risks for Food Production incl QMP 11.1.2 Food Fraud Vulnerability Assessment</t>
  </si>
  <si>
    <t>Food Fraud_x000D_
A food fraud vulnerability program is in place to identify and manage hazards associated with economically-motivated material adulteration</t>
  </si>
  <si>
    <t>The supplier must have a documented food fraud prevention plan that is supported by their Food Safety Management System._x000D_
A documented  food fraud mitigation plan must exist that specifies the methods by which all identified residual vulnerabilities are to be managed._x000D_
Any food fraud vulnerabilities identified in the Mars MRA (or EMPRA) must be included as an input to the supplier's vulnerability assessment._x000D_
There must be an appropriate level of monitoring and verification of mitigations._x000D_
_x000D_
Evidence:-_x000D_
* Demonstration of a food fraud vulnerability assessment (FFVA) that covers all types of food fraud across the entire supply chain for all materials and products of interest to Mars._x000D_
* Demonstration that the FFVA is updated regularly (at least annually) using a documented approach that considers all factors (such as supply and demand, geopolitical, financial, economic etc) that contribute to food fraud vulnerability. _x000D_
* Demonstration of monitoring &amp; verification of mitigation activities.</t>
  </si>
  <si>
    <t>QMPv3 9.3.2 Quality Objectives</t>
  </si>
  <si>
    <t>Quality Objectives _x000D_
_x000D_
Management has confirmed measurable objectives for the Q&amp;FS management programme and shows commitment to them and monitors progress.</t>
  </si>
  <si>
    <t>Q&amp;FS objectives have been defined based on analysis of historic data, and are formally agreed within the business. The Q&amp;FS objectives (aligned with Q&amp;FS policy ,  legislation &amp; customer requirements)  should clearly and accurately reflect the businesses intent and commitment over a specific time frame (SMART).  _x000D_
_x000D_
Check  that plans are in  place with adequate resources to achieve these objectives _x000D_
_x000D_
Follow a potential trail to explore is how does the team respond to metrics that are below target.  _x000D_
Seek to understand if CAPAs are raised and followed up in CAPA._x000D_
_x000D_
Some examples of evidence:- _x000D_
* Documented objectives with targets and timings (SMART), These must be chosen based on analysis of quality data ,( reduction of customer complaints, reduction of internal quality non conformances) and signed off by senior management._x000D_
 Objectives have been committed by management &amp; documented _x000D_
_x000D_
* Use of internal metrics for measurement of quality (waste, held product and semi finished product, internal quality performance on line and laboratory data) not only customer complaints _x000D_
_x000D_
* Project teams identified and documented project plans in place to achieve the targets with adequate resources._x000D_
_x000D_
* Evidence of internal communication on key projects (notice boards, emails,)_x000D_
_x000D_
* Ask member(s) of the management team if they know the Q&amp;FS objectives and why they were constructed.</t>
  </si>
  <si>
    <t>QMPv3 9.4.1 Resources</t>
  </si>
  <si>
    <t>Skilled Q&amp;FS resources_x000D_
_x000D_
Management provides sufficient and competent human resources to ensure that the Q&amp;FS management system is developed, operated and continuously improved..</t>
  </si>
  <si>
    <t>The organisation has competent resources who undertake quality and food safety activities in place to ensure the operation and continuous improvement of the Q&amp;FS management system._x000D_
These skilled resources are required to ensure product and service quality so that customer satisfaction is achieved._x000D_
Competency is demonstrated by personal undertaking Q&amp;FS activities confirming how to undertake the activity and why it is done._x000D_
Organizational knowledge is maintained in a way that gives access to relevant personal and would not be lost as a result of personal turn over or IT issues._x000D_
An organisational chart that describes the resources allocated to Q&amp;FS activities is maintained with contingencies described to cover for key personnel. _x000D_
The deployment of adequate and competent resources undertaking quality activities is an important determinant of a strong quality culture._x000D_
_x000D_
Evidence:-_x000D_
* Training records for operators/ contractors covering operating procedures for their roles including HACCP (Food Safety Plan), food safety training and CCP/OPRPs_x000D_
* Validation of training (check &amp; sign off) to demonstrate competency_x000D_
* Skills matrices by area to record competencies and to identify gaps in knowledge on a particular area/shift_x000D_
* A transition and succession plan with backs up trained._x000D_
* Evidence of knowledge gained from experiences, i.e. lessons learned from failures or successful projects; either internal or external, formal or informal._x000D_
* Management Review actions, internal audit schedule, and action closeout are completed in a timely manner, that might be indicative of adequate or competent resourcing.</t>
  </si>
  <si>
    <t>QMPv3 9.4.1.2 Infrastructure including QMPv3 9.4.1.3</t>
  </si>
  <si>
    <t>Q&amp;FS environment_x000D_
_x000D_
Facilities and the working environment are provided to ensure quality is achieved.</t>
  </si>
  <si>
    <t>The necessary/appropriate facilities &amp; working environment is in place that is designed, managed &amp; maintained to ensure material / product Q&amp;FS conformity._x000D_
_x000D_
While the type of infrastructure will vary according to the specific activities and materials / products / services, e.g. open spaces, buildings, manufacturing equipment, utilities, services (IT), communication modes, vehicle fleet, etc., it will be appropriate for the application and maintained in good working order._x000D_
_x000D_
Evidence:-_x000D_
* The production process is laid out with a logical, quality intent in mind._x000D_
* The production equipment is sized correctly for the operation and is in good working order._x000D_
* The working environment climate is suitable for the work performed._x000D_
* Laboratories infrastructure, layout and (micro, sensory, analytical) equipment is suitable and maintained in good order. _x000D_
* Production testing equipment is appropriate and well maintained._x000D_
* IT systems have controls for access and back-up.</t>
  </si>
  <si>
    <t>QMPv3 9.4.1.4 Resources for Monitoring and Measuring</t>
  </si>
  <si>
    <t>Monitoring equipment_x000D_
_x000D_
Equipment used to monitor the process and the product performs as intended at all times.</t>
  </si>
  <si>
    <t>The monitoring and measuring equipment and application are adequate to enable the control of the facilities environment and product quality._x000D_
Monitoring and measuring processes, procedures and methods enable the verification of specified performance._x000D_
_x000D_
Measuring equipment and methods used are:-_x000D_
-Calibrated or verified at specified intervals or prior to use against recognised and traceable standards._x000D_
 ( measurement results by accredited  service providers or approved trainer personnel  that comply with relevant calibration criteria )_x000D_
- Adjusted or re-adjusted as necessary._x000D_
- Identified to enable the calibration status to be determined._x000D_
- Safeguarded from adjustments that would invalidate the measurement results._x000D_
- Protected from damage and deterioration._x000D_
Records of the results of calibration and verification must be maintained. _x000D_
_x000D_
Action is taken when equipment is damaged or out of calibration, including replacement or repair of the equipment taken out of circulation, and an  assessment of the impact on previous measurements and the quality of any product or service that might be affected by the measurements. _x000D_
_x000D_
Evidence:-_x000D_
* Equipment is in good condition_x000D_
* Calibration status is displayed_x000D_
* Out of calibration equipment is actioned.  Request an example (if available) _x000D_
* The master calibration schedule is available_x000D_
* Select equipment and confirm that calibration is performed as defined and records are available. If CA needed it, those are documented. Focus on critical testing equipment for the type of material, product or service. _x000D_
e.g. Kill step equipment (thermocouples, pressure gages, belt speed); Scales, Pressure meters, auto samplers, thermometers used in process.</t>
  </si>
  <si>
    <t>QMPv3 9.4.4 Communication ( internal and external communication)</t>
  </si>
  <si>
    <t>COMMUNICATIONS_x000D_
_x000D_
Management ensures that appropriate Q&amp;FS practices are maintained through interactions and communications across the supply chain.</t>
  </si>
  <si>
    <t>Effective internal and external communication processes are  in place ensuring that Quality policy and objectives are shared with personal.  _x000D_
Interactions and communications include; being observed in the operation demonstrating leadership, quality work, quality performance, changes to regulations, and Q&amp;FS practices &amp; procedures.  _x000D_
Communications are undertaken in an effective and timely manner, particularly for relevant food safety changes _x000D_
_x000D_
Evidence:-_x000D_
That communication related to change has reached the target employees and has been understood and is followed._x000D_
Frequency and content of business townhalls_x000D_
Content and how up to date notice board communications are._x000D_
Frequency and content of daily operations communication meetings.</t>
  </si>
  <si>
    <t>QMP v3 9.4.5 Documented Information</t>
  </si>
  <si>
    <t>Q&amp;FS Documentation_x000D_
_x000D_
Current documents and records required for an effective Q&amp;FS system are available, understood and controlled.</t>
  </si>
  <si>
    <t>The extent of  Q&amp;FS documentation depends on the size and type (including risk) of the businesses activities, the complexity of the processes and their interactions, and the competency requirements of personnel._x000D_
Records are used to provide evidence of conformity._x000D_
_x000D_
All Q&amp;FS documents that are part of the Q&amp;FS Management System are controlled in a suitable location/ IT system, with revision histories in place, communication made for any changes, and on a set schedule for review._x000D_
Documents are made available to the part of the operation that requires them._x000D_
Documents are relevant to the operation._x000D_
Documents are current._x000D_
Documents are managed in compliance with laws and regulations (e.g. retention time for production and traceability records)._x000D_
_x000D_
Evidence:-_x000D_
* Certifications are available and displayed as required by the certifying body and regulators._x000D_
* Procedures and record templates_x000D_
* Training content and training attendance/competence._x000D_
* Records of production operation_x000D_
* Management Reviews - content, actions and closure.</t>
  </si>
  <si>
    <t>DO(QMP)</t>
  </si>
  <si>
    <t>QMPv3 9.5.2.4 Consumer, Client and Customer Communication</t>
  </si>
  <si>
    <t>Managing  customer  feedback _x000D_
There is an effective program to manage customer feedback including  complaints</t>
  </si>
  <si>
    <t>A process is in place to receive customer feedback._x000D_
Customer feedback that is important verification of the Q&amp;FS system is recorded, trended and actioned where appropriate._x000D_
Feedback includes compliment, neutral and complaint handling, ensuring receipt of feedback, appropriate investigation / consideration and response to the customer._x000D_
How seriously customer feedback is taken is a good indication of quality culture._x000D_
_x000D_
Evidence:-_x000D_
* Feedback recording_x000D_
* Action on feedback, including complaint investigation, actions, verified closure_x000D_
* Responses to customer feedback in a timely manner_x000D_
* Customer Complaint Management process with documented workflow. _x000D_
* Identification of root cause analysis and CAPA plans that demonstrate the actions have been effective in addressing the complaint._x000D_
Understand how this influences the supplier safety culture.</t>
  </si>
  <si>
    <t>QMPv3 9.5.3 Design and Development of Products and Service</t>
  </si>
  <si>
    <t>Process capability : Controls and validation_x000D_
The process has been developed to meet customer requirements and is validated to control the defined risks</t>
  </si>
  <si>
    <t>The process design / configeration is able to meet Mars specification and requirements. _x000D_
It is understood how the process can be adjusted to ensure risks defined in the specification can be achieved.  _x000D_
Process steps and an understanding of how to control the process through adjustment of the process to maintain the product within specified tolerences during manufacture can be described and is documented in operations instructions._x000D_
The process is commissioned and the process instructions have been validated to demonstrate that the outputs of design, development and deployment are capable of meeting the specified application or intended use. _x000D_
This is performed prior to supplying the product or service. Where process capability can not be demonstrated during any of these activities, appropriate action must be taken._x000D_
  _x000D_
Evidence:-_x000D_
* Records of process capability outcomes and actions _x000D_
* Records are retained of process capability evidence of each stage and control of this process, including actions taken when any problems are encountered_x000D_
* The current Mars specification is present is agreed for each parameter relevant to the process capability.</t>
  </si>
  <si>
    <t>QMPv3 9.5.5.1 Production and service provision</t>
  </si>
  <si>
    <t>Process capability: Operational control_x000D_
The process can be demonstrated to operating consistently.</t>
  </si>
  <si>
    <t>The validated process instructions are described and the process operates correctly._x000D_
Management and operators understand the process controls and the adjustments to enable the product to be maintained within specification._x000D_
Important process parameters are monitored to verify that the process is operating as intended, in a consistent and stable manor and that adjustments to the process do maintain the product within specified tolerances.  _x000D_
Reviews are conducted to confirm that the process is  capable of providing product that consistently meets key quality parameters of the specification._x000D_
The process inputs operate consistently (operating conditions) and are documented with appropriate tolerances and escalation triggers._x000D_
_x000D_
Evidence:-_x000D_
* Process capability studies to demonstrate that material variations are controlled_x000D_
* That operating conditions are monitored and an escalation process is in place._x000D_
* Operating instructions.  _x000D_
* Monitoring and measuring activities of the process and the product._x000D_
* Availability of competent and trained operations personal _x000D_
* Corrections and actions in response to equipment malfunction or out-of-control or out-of-conformance results.</t>
  </si>
  <si>
    <t>QMPV3 9.5.5.4 Maintaining production integrity</t>
  </si>
  <si>
    <t>Process verification: The process is verified to confirm that the process achieves the specified product design features.</t>
  </si>
  <si>
    <t>Verification activities are performed to ensure that the inputs of the process consistently meet the specified outputs of the process.  _x000D_
Verification activities, including; quality assessment, testing results, line losses, assessment of operating instructions, assessing customer feedback are formally undertaken and reviewed._x000D_
Where verification evidence indicates that the process has not met specified outputs, appropriate action is required to correct the issue.   _x000D_
_x000D_
Evidence_x000D_
Verification of the Process Monitoring for Food Safety and quality Parameters is done at set frequency_x000D_
Records for the verifications are available (and signed by authorised personnel where required)_x000D_
When applicable, corrective actions are documented_x000D_
* Product non-conformances_x000D_
* Customer complaints</t>
  </si>
  <si>
    <t>MQM 3.1 QMP V3 9.5.4. Purchasing and control of externally provided process , materials , products and services (risk based)</t>
  </si>
  <si>
    <t>Supplier Quality Management Program - Risk based program_x000D_
_x000D_
High risk and critical/important goods and services are risk assessed and included in a supplier quality program.</t>
  </si>
  <si>
    <t>There is a supplier quality program that considers all purchased materials and services covering:_x000D_
 - Materials and packaging intended to be incorporated into products_x000D_
 - Materials used for the delivery of products &amp; services_x000D_
 - Products and services provided by external suppliers  (e.g. pest control, cleaning and sanitation, transport , storage, waste management, co-manufacturing, licensing, sub-contracting of services such as laboratory analysis, scientific, training, calibration services, temporary employees, consultant or consumer research)_x000D_
 - Processes, or part of a process, provided by an external supplier on behalf of the supplier._x000D_
High risk and critical/important goods and services undergo a risk assessment where specific risks are defined and mitigation activities are put in place to ensure intended quality is achieved.   The SQM process is ongoing with new materials and services continually evaluated as they are considered.   _x000D_
The SQM program achieves equivalence to Mars MQM/PQM/DQM._x000D_
* Critical/important = key ingredients / significant volumes / highest risk / strategically sensitive_x000D_
_x000D_
Evidence :-_x000D_
* Supplier approval process_x000D_
* list of high risk and important/critical goods and services purchased with risk level._x000D_
* that risk level is linked to the supplier qualification and ongoing verification._x000D_
* the relevance and quality of the SQM program elements, including Risk Assessments. _x000D_
* Review of performance data in supplier reviews for key suppliers or badly performing suppliers._x000D_
_x000D_
Pesticides Management Focus:_x000D_
The Supplier's Pesticide Risk Assessment should consider factors such as:_x000D_
_x000D_
a) Sourcing Models: Integrated Farming, District Markets, Hybrid, or Other._x000D_
b) Origin variability: Countries of Harvest (CoH), Growing Regions, and Standardization._x000D_
c) Number of harvest per year (crops from different harvest could be treated differently)._x000D_
d) Historical data, Official alerts._x000D_
e) Upstream Supplier Controls:_x000D_
 -GAP (or equivalent) certification or similar pesticide control practices from farmers._x000D_
 -Information on IPM methods at farms to rationalize chemical usage. Review Agronomy Report, if available._x000D_
 -Adherence to Approved Plant Protection Products list and residue regulations from relevant countries. Review seed distributor documents, field technicians' records, farmers' books and testing results._x000D_
 -Provision of Pesticide Application Guidelines or monitoring of Upstream Supplier/Farmer's Pesticide Control Program. Review relevant documentation, including chemical application instructions, authenticity records, approved chemical lists, calibration records, mapping records, and training records._x000D_
 -Ensuring chemical authenticity_x000D_
 -Traceability and Spray Diary keeping with chemical details, application dates, dosages, and locations._x000D_
 -Implementation of a program to assess pesticide risks from various sources like water, runoff, seed treatment, previous land use, and spray drift from nearby crops. Review available testing._x000D_
  -Calibration of the Equipment used in Chemical Application_x000D_
  -Training Program for farmers and their employees.</t>
  </si>
  <si>
    <t>MQM 4.1  QMP V3 9.5.4. Purchasing and control of externally provided process , materials , products and services ( specified and verified)</t>
  </si>
  <si>
    <t>Supplier Quality Management Program - Specified and verified_x000D_
_x000D_
The goods and services in the supplier quality program are specified and verified as meeting specification.</t>
  </si>
  <si>
    <t>The Supplier Quality Management Program includes a specification and verification program to ensure goods and services purchased meet specification.   The specification is informed by the risk assessment and forms part of the contract defining what is purchased.  A Q&amp;FS audit of the supplier is used where Q&amp;FS verification is required of the purchased goods and services.  An inbound verification program exists and confirms that purchased materials meet the specification.   Purchasing communicates to external suppliers its requirements for:_x000D_
 - Processes, products and services to be provided_x000D_
 - Approval and release of processes and products_x000D_
 - Approval and deployment of services_x000D_
 - Competence of people involved with delivery of processes, products and services_x000D_
 - Communication and interaction, including updates, reviews, visits_x000D_
 - Control, monitoring and verification of external supplier performance_x000D_
 - Any validation and verification activities to be done at the supplier’s premises_x000D_
Specifications for outsourced services and material /product (raw &amp; packaging) suppliers are:-_x000D_
a) controlled (date, version, owner)._x000D_
b) based on a risk assessment, determining relevant Q&amp;FS and legal requirements/limits._x000D_
_x000D_
Evidence include :-_x000D_
* Specifications available for all critical materials /product and services purchased by the supplier._x000D_
* Delivery vehicles are checked on receipt to verify that the Q&amp;FS of the materials / products has been maintained during transit, including transportation temperatures and security._x000D_
* A good / services verification process, including; Receivals process, sampling, testing, COA/COC check, Q&amp;FS audit utilised. The method of verification is documented.  _x000D_
* Access points to bulk is based on the risk assessment for supplier and material._x000D_
* 3rd party lab services_x000D_
* That specifications includes scope / accreditation required_x000D_
* Supplier non-conformance measurement (record of incidents, database or spreadsheet to capture data, evidence of CAPA follow up with supplier, target KPIs in place)._x000D_
_x000D_
Pesticides Management Focus_x000D_
- Is the Residue Verification Program based on a thorough Pesticide Risk Assessment?_x000D_
- Is testing frequency aligned with the risk assessment? (Varies based on supply chain integration and upstream control)._x000D_
- Are verifications conducted promptly post-harvest?_x000D_
- Is testing conducted in an accredited lab (e.g., ISO 17025)?_x000D_
- Do lab methods fall within the accreditation scope?_x000D_
- Are detection methods sensitive enough to demonstarte compliance with Maximum Residue Limits? (Check LoQ)_x000D_
- Does the screener cover all relevant residues?_x000D_
- Are banned chemicals in specific regions included in verification activities?  (e.g., Ethylene Oxide, Fipronil, Glyphosate)_x000D_
_x000D_
Does the supplier assess risks from processing/storage/transportation chemicals for testing necessity and frequency? _x000D_
*Consult regional bans and emerging risks with S&amp;RA Teams.</t>
  </si>
  <si>
    <t>QMPv3 9.5.5.3 Property belonging to Clients, Customers or External Suppliers</t>
  </si>
  <si>
    <t>Mars Property_x000D_
_x000D_
Appropriate care is taken for Mars property (incl. Intellectual Property, Equipment &amp; Information).</t>
  </si>
  <si>
    <t>Mars property must be identified, protected and safeguarded.  It must be verified as safe and present when provided for use or incorporated into the material /product._x000D_
A process for the recording and reporting of Mars property that is damaged, unsuitable for use or lost is required._x000D_
Mars property includes Mars intellectual property and Mars personnel data and Mars ingredients_x000D_
information e.g. Mars specifications are available on site, but protected to ensure no potential of editing and are not openly posted in any processing/lab areas._x000D_
_x000D_
Evidence:-_x000D_
* Mars specifications and other Mars documents.  , and review who has access, how are those distributed._x000D_
* Check if any Mars Technology is with the supplier.  Confirm that controls are in place._x000D_
* Are Mars ingredients used and safeguarded.</t>
  </si>
  <si>
    <t>QMPv3 9.5.5.6. Control of change  Design and Development Changes</t>
  </si>
  <si>
    <t>Change Management_x000D_
A process is in place to effectively assess and control changes that may impact Q&amp;FS.</t>
  </si>
  <si>
    <t>Any changes to the quality system or operations that are likely to impact product or service quality must have an assessment of risk and the appropriate controls implemented to ensure that there is no adverse impact on conformity to requirements. _x000D_
This includes changes in the traceability system and its capability to affect Mars’ own traceability arrangements and legal responsibilities._x000D_
A communication process is in place to ensure timely cascade of issues and changes that impact Q&amp;FS.  _x000D_
Dedicated  individuals must be responsible for any determination of downstream customer impacts, approval and communication for changes affecting finished goods and services._x000D_
Changes must take  into account the purpose and potential effect of any change, resources needed and responsibilities. _x000D_
Changes must be documented and relevant employees and contractors informed and trained as appropriate. The  quality of its products and services must be maintained._x000D_
A trigger must be in place to review HACCP plan if impacted.  The risk assessment should consider the food safety risk for each new project/process/ingredient/information/etc. and this should link back to the site food safety plan /programmes (e.g. HACCP)._x000D_
A technical risk assessment should be formally documented and managed with an action plan and review._x000D_
If trials are needed internally, these should be fully documented with reasons for the trial, quality checks required and approvals at each stage of the process, including customer sign off if necessary. _x000D_
The need for new quality checks or other control measures should be considered for any changes._x000D_
_x000D_
Evidence:- _x000D_
* Risk Assessments for changes to process, procedure, ingredients, suppliers, personnel, etc., that could impact product performance._x000D_
* HACCP team (Food Safety Plan) meeting minutes._x000D_
* HACCP team (Food Safety Plan) sign-off (Change management documentation)_x000D_
* Trial procedure and trial documentation._x000D_
* Commissioning reports._x000D_
* Change Management procedure includes: risk assessment process, procedure, ingredients, suppliers, personnel_x000D_
* Records for the completed actions defined to implement the changes (e.g. training, new equipment testing, changes in procedures)_x000D_
* Confirm that changes that impact traceability are assessed.</t>
  </si>
  <si>
    <t>QMPv3 9.5.6 Release of Products and Deployment of Services incl 9.5.5.2</t>
  </si>
  <si>
    <t>Release of products / services_x000D_
_x000D_
The goods / services meet specification prior to release to Mars.</t>
  </si>
  <si>
    <t>Materials/products/services are monitored / measured against their Q&amp;FS &amp; regulatory criteria.  Monitoring occurs at the appropriate stage to verify that the Mars requirements are met throughout their production and logistics stages_x000D_
Supplier must determine _x000D_
-suitable method and frequency of monitoring_x000D_
- quality criteria for products at appropriate stage , which criteria must be met before release of product _x000D_
- when the results from monitoring and measurement shall be analysed and evaluated ( and who )  _x000D_
_x000D_
Material include raw materials, food contact material include packaging , in-process product , end product, non-conforming product and rework_x000D_
_x000D_
_x000D_
Records of conformance to these criteria must be kept, including authorisation of release where applicable_x000D_
_x000D_
Such records must indicate the responsible person(s) authorising the release of product for delivery to Mars. _x000D_
_x000D_
Evidence:-_x000D_
* Confirm the material Q&amp;FS is monitored and measured against a defined plan._x000D_
* Check that there is a clear sampling plan defining the number of samples to be tested, the sampling method and frequency. _x000D_
* Confirm that the targets and tolerances are aligned with the Mars specifications. _x000D_
* Confirm actions taken following any non conformances (e.g. Hold and Release procedures)._x000D_
*records of conformance , including authorisation of release where applicable</t>
  </si>
  <si>
    <t>QMPv3 9.5.7 Control of Non-Conforming Products and Services</t>
  </si>
  <si>
    <t>"Control of Non-conforming material _x000D_
Ensure that non conforming material  is controlled to prevent its unintended use or delivery."</t>
  </si>
  <si>
    <t>Non-conforming material /product / services includes raw material, food-contact material including packaging, in-process product, rework and end product._x000D_
_x000D_
Supplier must ensure all products  that do not conform to requirements  or delivered under conditions that do not conform to requirements are identified and controlled to prevent unintended use or delivery. This includes clear  identification and where necessary segregation, hold or suspension. Check that segregation is actively practiced_x000D_
_x000D_
Supplier must define and document a process including specific accountabilities and responsibilities for dealing with  non conforming products  this includes products  discovered to be non conforming after or during delivery ._x000D_
_x000D_
Documented process for dispositioning of non-conforming material (e.g. corrections, destruction) and records of these activities must be maintained._x000D_
_x000D_
If the supplier authorizes the use, release or acceptance of a non-conforming material /product to Mars, this must be done under concession by a relevant authority at the  supplier and agreed with Mars._x000D_
_x000D_
Evidence include _x000D_
*Check that procedure to manage NC product is documented and meet requirements listed above_x000D_
*Check that NC are track _x000D_
*Check that disposition are properly documented_x000D_
During factory tour_x000D_
*Check NC product identification and segregation</t>
  </si>
  <si>
    <t>QMPv3 9.5.7.1 Product-Related Incident Management and Recall</t>
  </si>
  <si>
    <t>Q&amp;FS  Incident management and recall_x000D_
_x000D_
The supplier has established effective processes to manage Q&amp;FS incidents, including  personnel with the authority to initiate a recall and responsible for its execution.</t>
  </si>
  <si>
    <t>The supplier must have a documented emergency plan covering foreseeable emergencies (e.g. natural disasters, fatality and resulting closure due to H&amp;S investigation, strikes, loss of utilities, fire, flooding, IT systems failures, cyber attacks, bioterrorism, vandalism and sabotage) to include back up activities to ensure continuation of production in event of an emergency and identification of a team to coordinate  implementation of the plans. _x000D_
The emergency plan must to be tested for effectiveness e.g. simulation exercises on a regular basis, nominally each year. _x000D_
For transfer of business to sister sites, a procedure for transfer of key documentation and files must be in place and confirm alternate transfer site has the necessary operating conditions_x000D_
_x000D_
Evidence include :-_x000D_
* Validation records of the plan _x000D_
The site should have a procedure to transfer business to a back up site in case of an emergency._x000D_
The supplier must have a critical incident management process to manage any product non conformance issues identified either during production or after the product has been released to the customer, to include a documented recall procedure. The procedure should identify scope and severity of any incident, who has the authority to initiate a recall, personnel responsible for executing the withdrawal, documentation and communication of the recall itself, requirements for internal and external contacts (incl. Mars), the sequence of events to be followed &amp; handling and control of the withdrawn materials at risk and those in stock._x000D_
* Critical Incident Management process_x000D_
* Documented recall procedure_x000D_
* Records of testing the recall procedure_x000D_
Review CAPA's opened for learnings from incident management and mock recall simulation. _x000D_
* Emergency plans and training on the emergency plan to be conducted in annual bases, to include key stakeholders involved in the foreseeable emergencies</t>
  </si>
  <si>
    <t>Traceability  (DO)</t>
  </si>
  <si>
    <t>Trace 1.1 Vendor Management -</t>
  </si>
  <si>
    <t>Time bound Product Traceability_x000D_
_x000D_
A time bound traceability system is in place that enables the identification of production lots and the relationship to the materials  used to produce them.</t>
  </si>
  <si>
    <t>The supplier must establish and apply a traceability system that enables the identification of product lots and their relation to batches of raw materials, primary packaging materials, processing-aids, in-process material, rework creation/usage,  non conform product, destroyed and donated products, processing and delivery records._x000D_
_x000D_
The supplier must ensure that their suppliers are capable of tracking back to their suppliers and forward to delivery to their customers_x000D_
_x000D_
The traceability system must also enable identification of incoming materials through to all lots of the final material /product._x000D_
 The suppliers own supplier quality management program must verify their suppliers traceability program.  Traceability needs to go back up to the production plant of the manufacturer of the e.g. ingredient. Tracing back to traders, distributors, agents and brokers is not enough._x000D_
The Mars Traceability Standard defines a target time of 4 hours to complete the tracing exercise._x000D_
Best practice is for supplier to have a documented traceability process with  justified % of recovery and time._x000D_
_x000D_
 Records of key information (e.g. traceability data, quality data, CCP and OPRP records) must be retained for a defined period of time, as a minimum to be the shelf life of the  material /product plus the shelf life of the Mars product, to enable the isolation and retrieval of potentially unsafe materials /products in the event of a critical product incident. Legal requirements must also be met for record keeping of traceability data. _x000D_
Samples of materials / products must be kept as required per the material/ industry  dictates  in the Mars specifications _x000D_
Evidence:-_x000D_
* Run a traceability exercise on a production lot back to all raw materials,  Check the information can be found within 4 hours._x000D_
If it fails, are there corrective actions documented ,and CA verified for effectiveness_x000D_
* Run a traceability exercise on one batch or raw material to trace all the finished material  which used this material batch. Best practise is to widen the scope of the traceability exercise to include raw material , packaging, rework, process aids , destroyed products , finished products ( as applicable)  Certificates of Analysis, inbound checks, etc._x000D_
* Review effectiveness of CAPA from trace exercise_x000D_
* evidence that  lots numbers are uniquely identified to identify lot and allow  traceability _x000D_
* The supplier quality management program must include confirmation of their suppliers traceability program e.g. via audit question, 3rd party audit and a practical trace exercise._x000D_
* Confirm the correct batch details on inbound materials /products are recorded._x000D_
* Check records exist for a time period of minimum of the shelf life of the material /product + shelf life of Mars product, and is compliant with legal requirements._x000D_
* Check any legal requirements are met for record keeping._x000D_
* Check supplier maintains  retained samples as per the standard  industry requirements and / or  meet the requirements of  Mars  (when defined)</t>
  </si>
  <si>
    <t>Trace 1.3   Vendor Management - Product Identification</t>
  </si>
  <si>
    <t>Production lot identification_x000D_
Each lot of produced material /product must have an identification number (applied consistently to all discrete units within the lot) that enables traceability.</t>
  </si>
  <si>
    <t>Each batch products must be identified to enable complete traceability of all material. _x000D_
Evidence :Visually confirm that materials  /product at the supplier are uniquely numbered  in a way that identifies each lot and allows traceability."</t>
  </si>
  <si>
    <t>Trace 1.8 Vendor Management - Product identity &amp; Claim management</t>
  </si>
  <si>
    <t>Traceability for  identify preservation _x000D_
A process for all materials requiring identity to be maintained for claims is followed</t>
  </si>
  <si>
    <t>Where there is a requirement to achieve identity preservation within the supply chain, e.g. make a claim to a product characteristic or attribute (e.g. kosher, Halal, GMO free ,gluten free) appropriate control and testing procedures must be in place._x000D_
_x000D_
Audit this requirement only if special requirements for traceability and identity preservation exist._x000D_
_x000D_
Make sure that you properly identify and verify the specific requirements that the supplier must be compliant to.(e.g. non hydrogenated) This may also include areas where Mars define specific process type inclusion or exclusions (i.e.. exclusion of radiation treatment)._x000D_
_x000D_
Evidence:_x000D_
When applicable request_x000D_
* Kosher, Halal, Organic certifications _x000D_
* Evidence for GMO free_x000D_
* Records test results for Gluten free_x000D_
_x000D_
.</t>
  </si>
  <si>
    <t>Food Safety Management Program (DO)</t>
  </si>
  <si>
    <t>HACCP 5.2 Planning and Realisation of Safe Products - Pre-requisite Programmes (PRPs )</t>
  </si>
  <si>
    <t>PRP's Program_x000D_
_x000D_
A food safety program is in place with pre-requisite programs that are appropriate to the nature size and type  of the operation to maintain food hygiene</t>
  </si>
  <si>
    <t>"The pre-requisite programmes (PRP's) are basic conditions and activities that are necessary to maintain a hygienic environment suitable for production, handling and provision of food safe materials /products. _x000D_
They DO NOT control hazards or steps_x000D_
E.g. Supplier control programme_x000D_
Cleaning and sanitation_x000D_
Personal hygiene_x000D_
Training_x000D_
Pest control_x000D_
_x000D_
The PRPs used at the supplier should be justified based on: Codex Alimentarius, applicable laws and regulations, professional guides, industry standards, and customer requirements. As food manufacturing operations are very diverse in nature, not all of the PRPs requirements specified in the Mars audit may apply to every operation or process._x000D_
_x000D_
The PRPs should  be documented &amp; approved._x000D_
_x000D_
Evidence:-_x000D_
*The Mars MRA/PRA/EMPRA should be used to assess the PRPs and other controls necessary to maintain the hygienic environment for the production of the Mars material / product."</t>
  </si>
  <si>
    <t>HACCP 5.3.3.1 Preliminary Steps to Enable Hazard Analysis - Product Characteristics - Raws, Ingredients, and Product-contact materials</t>
  </si>
  <si>
    <t>Product description_x000D_
_x000D_
All raw materials, product-contact materials and finished products are defined to enable a complete hazard analysis.</t>
  </si>
  <si>
    <t>All raw materials, ingredients and product-contact materials must be described in documents to the extent needed to conduct the hazard analysis, including the following, as appropriate:_x000D_
a) biological, chemical and physical characteristics relevant for food safety;_x000D_
b) composition of formulated ingredients, including additives and processing aids;_x000D_
c) origin;_x000D_
d) method of production;_x000D_
e) packaging and delivery methods;_x000D_
f) storage conditions and shelf life;_x000D_
g) preparation and/or handling before use or processing;_x000D_
h) food safety-related acceptance criteria or specifications of purchased materials and ingredients appropriate to their intended uses._x000D_
_x000D_
_x000D_
_x000D_
Evidence _x000D_
Review Customer, Client and Consumer feedback to verify that product or service integrity is under control._x000D_
Review Product - Materials description part of the HACCP program to ensure meet the requirements listed above</t>
  </si>
  <si>
    <t>HACCP 5.3.4 Preliminary Steps to Enable Hazard Analysis - Intended use</t>
  </si>
  <si>
    <t>Intended use &amp; consumer(s)_x000D_
_x000D_
The Food Safety Management programme must consider the groups of consumers and the intended use of the product in the risk assessment.</t>
  </si>
  <si>
    <t>Check to ensure the food safety management programme identifies the users and consumers of the material / product, including highly vulnerable consumers, along with the intended use and preparation/handling of the material (including reasonable unintended misuse/mishandling). _x000D_
_x000D_
Confirm that all information identified is known to Mars._x000D_
_x000D_
Evidence_x000D_
Review Product - Materials  intended use description _x000D_
Ask supplier how is this communicated to Mars, report brief description of the process and person notified</t>
  </si>
  <si>
    <t>HACCP 5.3.5.1 a) Preliminary Steps to Enable Hazard Analysis -</t>
  </si>
  <si>
    <t>HACCP (Food Safety Plan) team_x000D_
_x000D_
The hazard analysis is carried out by a competent team and is informed by the process flow of the material /product, facilities layout, production flow steps and control measures that impact food safety.</t>
  </si>
  <si>
    <t>The hazard analysis should be performed by an appointed multi-disciplinary team with knowledge of chemical, physical and biological hazards and that has a combined knowledge of the product/line. _x000D_
_x000D_
Evidence:-_x000D_
* Training records for the team members and their knowledge &amp; experience need to be demonstrated. _x000D_
_x000D_
The hazard analysis needs to include a documented factory layout including all facilities that are part of the infrastructure of the site (production lines, storage areas, utilities and personnel facilities) and routing of products, personnel and air flows (where applicable)._x000D_
 _x000D_
The supplier must have flow diagrams covering all products in their food safety management programme. _x000D_
_x000D_
Materials / Products can be grouped in product categories if it does not negatively affect the clarity, accuracy and sufficient level of detail._x000D_
_x000D_
Evidence:-_x000D_
* Flow diagrams (including outsourced or subcontracted work, purchasing of raw materials, ingredients and intermediate products, reworking and recycling, removal of end products, intermediate products, by-products, waste.  _x000D_
* External requirements that may impact control measures should be identified._x000D_
* Confirm the accuracy of the flow diagram during the facilities visit.  _x000D_
* Check that the hazard analysis and flow diagrams are maintained as a controlled document.</t>
  </si>
  <si>
    <t>HACCP 5.4.2 Hazard Analysis - Hazard Identification and Determination of Acceptable Levels</t>
  </si>
  <si>
    <t>Hazard Identification_x000D_
_x000D_
All the food safety hazards that can reasonably occur have been identified.</t>
  </si>
  <si>
    <t>The food safety hazards that are reasonably expected to occur based on the internal information (product characteristics, intended use, factory layout, product flow, potential cross contamination control measures) must be identified and recorded, as well as the step(s) at which it may be introduced. _x000D_
_x000D_
The identification must include, when applicable, information from customers, including Mars, or the food chain on food safety hazards that may be of relevance._x000D_
_x000D_
For each hazard identified, the acceptable level of the hazard in the end product must be determined whenever possible, taking into account statutory and regulatory requirements and customer food safety requirements, the intended use by the customer and other relevant data. _x000D_
_x000D_
The result of the determination and its justification must be recorded.</t>
  </si>
  <si>
    <t>HACCP 5.4.3 Hazard Analysis - Hazard assessment</t>
  </si>
  <si>
    <t>Hazard Significance_x000D_
_x000D_
A hazard assessment confirms the hazards that can be present and assesses the significance of each hazard.</t>
  </si>
  <si>
    <t>Food safety hazards must be evaluated according to the possible severity of adverse health effects (Severity of Effect) and the likelihood of their occurrence. _x000D_
The significance of the hazard must then be derived. The step at which the hazard is introduced, can occur or increase must be indicated._x000D_
_x000D_
Confirm that the supplier has also identified all significant hazards listed in the Mars MRA/PRA/EMPRA. _x000D_
_x000D_
The methodology used for this evaluation must be described, and the results of the food safety hazard assessment must be recorded._x000D_
_x000D_
Evidence to be seen documented in the hazard analysis:-_x000D_
* Check for all the hazards identified, that the LoO and SoE is assessed against documented criteria. _x000D_
* Check the criteria used to rate the LoO and SoE are aligned with Mars expectations_x000D_
* Check the methodology used to combine the LoO and SoE to give an overall hazard significance is documented and based on sound principles.</t>
  </si>
  <si>
    <t>HACCP 5.4.4 Hazard Analysis - Selection and Assessment of Control Measures</t>
  </si>
  <si>
    <t>Has a control been defined?_x000D_
_x000D_
Control measures are implemented to eliminate  food safety hazards  in the finished product.</t>
  </si>
  <si>
    <t>Control measures required for the elimination/reduction of significant food safety hazards to acceptable levels must be documented._x000D_
_x000D_
Eliminated equates to reduce to acceptable levels which will vary hazard by hazard. Confirm that each eliminated is justified._x000D_
_x000D_
The control measures selected must be categorised as to whether they need to be managed as Critical Control Points. _x000D_
_x000D_
The selection and categorisation must be carried out using a logical approach._x000D_
The methodology and parameters used for this categorisation must be documented and the results of the assessment recorded.</t>
  </si>
  <si>
    <t>HACCP 5.5  - Establishing the Control program</t>
  </si>
  <si>
    <t>Controls that are not measured in real time  have been identified and implemented to mitigate significant food safety hazards</t>
  </si>
  <si>
    <t>The supplier must determine the control measures not categorized as Critical Control Points, but that are still necessary to control significant food safety hazards (Mars QMP it is called Operational PRPs (OPRP) or control points (CP)  e.g. product changeover cleaning, allergen changeover procedure, taking a sample off line to measure seal strength, a series of screens, sieves, magnets to remove metal contamination)._x000D_
_x000D_
There should be evidence of OPRP and/or CP validation _x000D_
_x000D_
These OPRP's and/or CP's must be in place when food safety control measures do not have measurable limits or provide results in real time, or when the supplier needs a combination of control measures to eliminate or reduce a hazard to an acceptable limit.  _x000D_
_x000D_
The supplier must have a monitoring system in place (conducted by defined personnel)  to ensure that these controls measures are working and that records are maintained._x000D_
_x000D_
In the event of deviation the supplier must have a corrective action  process in place._x000D_
_x000D_
Evidence_x000D_
*Check how many OPRP's and/or CP's suppliers has defined, and the responsible to monitor those_x000D_
*Check that validation for each OPRP and  CP are available_x000D_
*Check that records for all OPRP's and CP's are documented_x000D_
*Check that corrective actions are implemented when a deviation of any OPRP or CP are properly documented and implemented "_x000D_
action  process in place.</t>
  </si>
  <si>
    <t>HACCP 5.6.1 Establishing the HACCP Plan - HACCP Plan</t>
  </si>
  <si>
    <t>CCP program in place_x000D_
_x000D_
Critical control points (CCP's) have been identified and implemented to mitigate FS hazards.</t>
  </si>
  <si>
    <t>CCP's are defined as the last control in a process that is measurable in real time to eliminate a hazard._x000D_
_x000D_
For all identified Critical Control Points (CCPs) the following must be defined:- _x000D_
_x000D_
-Food safety hazard(s) to be controlled at the CCP._x000D_
-Control measure(s)._x000D_
-Critical limit(s)_x000D_
-Monitoring procedure(s)._x000D_
-Planned corrections and corrective action(s) to be taken if critical limits are exceeded._x000D_
-Responsibilities and authorities.       _x000D_
-Record(s) of monitoring; validation and verification plan. _x000D_
_x000D_
Check that they are the last control in the process._x000D_
_x000D_
The rationale (validation) for all these CCP parameters must be documented._x000D_
Records must be kept for these controls._x000D_
The material /product is released only when controls are checked to be within limits._x000D_
Evidence include _x000D_
*Check that for each CCP defined the following is defined:_x000D_
* What is measure? Who is responsible for measure it? What is the Method used? How often it is monitored, verified and validated? What are the limits?</t>
  </si>
  <si>
    <t>HACCP 5.6.4 Establishing the HACCP Plan -System for the Monitoring of Critical Control Points</t>
  </si>
  <si>
    <t>Monitoring of Critical Control Points_x000D_
_x000D_
A monitoring system must be established for each CCP to demonstrate it is in control</t>
  </si>
  <si>
    <t>Ensure that there are planned sequence of observations or measurement being taken to assess whether control measures are operating as intended. _x000D_
A monitoring system must be established and maintained for each control to demonstrate that the control is working to achieve planned results. The system must include all scheduled/planned measurements, observations or analysis of the results relative to the critical limit(s) established._x000D_
_x000D_
The monitoring system must consist of relevant procedures, instructions and records that cover the following:_x000D_
a) Measurements or observations that provide results within an adequate time frame;_x000D_
b) Monitoring devices used;_x000D_
c) Applicable calibration methods;_x000D_
d) Monitoring frequency;_x000D_
e) Responsibility and authority related to monitoring and evaluation of monitoring results;_x000D_
f) Record requirements and methods;_x000D_
_x000D_
The monitoring methods and frequency must be capable of determining when the critical limits have been exceeded in time for the product to be isolated before it is used or consumed._x000D_
_x000D_
_x000D_
Evidence_x000D_
The results of the monitoring must be documented at the defined frequency (dated and signed by the operator(s)). These results must be available at shift handover at the operator and shift manager level and confirmed by both shifts as having been appropriately communicated. Records of deviations that have occurred and corrective actions taken must be maintained by the operator._x000D_
_x000D_
The monitoring device must be physically identified._x000D_
_x000D_
Evidence_x000D_
The results of the monitoring must be documented at the defined frequency (dated and signed by the operator(s)). These results must be available at shift handover at the operator and shift manager level and confirmed by both shifts as having been appropriately communicated. Records of deviations that have occurred and corrective actions taken must be maintained by the operator._x000D_
_x000D_
The monitoring device must be physically identified.</t>
  </si>
  <si>
    <t>HACCP 5.8 Verification Planning</t>
  </si>
  <si>
    <t>Verification of the FSMP program_x000D_
_x000D_
Planned activities are in place to confirm that the food safety management programme is effective.</t>
  </si>
  <si>
    <t>There must be a verification plan with activities, purpose, methods, frequencies and responsibilities to confirm the FSMP is implemented and effective and hazard levels are within identified acceptable levels._x000D_
_x000D_
Verification results must be recorded and communicated to the Food Safety Team. _x000D_
_x000D_
If programme verification is based on testing of finished product samples and where this shows non-conformity  the affected product must be handled as potentially unsafe._x000D_
_x000D_
_x000D_
Evidence:-_x000D_
* Look at the planned verification activities for the FSMP. _x000D_
* Check the verification planned is appropriate for  each of the CCPs ,  OPRPs,  CP's and PRP's identified._x000D_
* Check the verification frequency is appropriate._x000D_
* Check the documented verification results and analysis._x000D_
* Check how any non conformances are managed._x000D_
_x000D_
_x000D_
Evidence:-_x000D_
* Look at the planned verification activities for the FSMP. _x000D_
* Check the verification planned is appropriate for the CCPs and OPRPs identified._x000D_
* Check the verification frequency is appropriate._x000D_
* Check the documented verification results and analysis._x000D_
* Check how any non conformances are managed.</t>
  </si>
  <si>
    <t>HACCP 6.2 Validation, Verification and Improvement - Validation of Control Measure Combinations</t>
  </si>
  <si>
    <t>Validation of controls_x000D_
_x000D_
Control measures must be validated to demonstrate capability of achieving the intended control of the food safety hazard(s) for which they are designed.</t>
  </si>
  <si>
    <t>The supplier must prove that the control measures have been validated  to ensure (capability &amp; effectiveness) before they start production of safe product._x000D_
_x000D_
Different methodologies can be appropriate for each case: scientific or technical literature, previous validation studies or historical knowledge of the performance of the control measure, scientifically valid experimental data, collection of data during operation of the entire food production process, statistical surveys, mathematical modelling. _x000D_
_x000D_
There may be processes defined in regulatory documents or officially validated guides. _x000D_
_x000D_
For well-established processes (time and temperature for milk pasteurisation), it may be sufficient to gather data on the conditions or attributes specific to the operation._x000D_
_x000D_
If the internal expertise for performing validation doesn't exist at the supplier, external expertise should be sourced._x000D_
_x000D_
Validation must be re-established after changes._x000D_
_x000D_
Evidence:-_x000D_
* Check the validation evidence available for the control measures for the CCPs and OPRPs, and any significant hazards on the MRA/PRA/EMPRA._x000D_
* If validation is based in regulation, scientific study, etc. Review the record is available and is applicable for the ingredient or product purchased by Mars</t>
  </si>
  <si>
    <t>HACCP 6.5.2 Updating the Food Safety Management Programme</t>
  </si>
  <si>
    <t>Review of the FSMP_x000D_
_x000D_
The food safety management programme is kept up to date through regular reviews and when changes are made that could impact on food safety.</t>
  </si>
  <si>
    <t>Planned regular reviews of the food safety management programme should be conducted to ensure it is continually adequate based on data from verification activities, the result of the management review or external information._x000D_
Additionally, internal communication channels should exist to ensure that the programme is reviewed when there is a change that impacts food safety. _x000D_
Records of the reviews &amp; updates must be maintained._x000D_
_x000D_
Evidence:-_x000D_
* Regular planned reviews must take place of the FSMS, with documented inputs to the meetings, and actions following the meeting._x000D_
* The food safety hazard analysis should have a list of triggers that would require a review e.g. new Ingredient, new destination market, significant changes to equipment, changes to legislation, new shift pattern, etc. There must be evidence that there are communication routes in place to trigger a review of the FSMS. Follow through an example (e.g. if a new line has been installed, if legislation has recently changed) to check how this has been communicated and assessed. _x000D_
* All updates to the FSMS must be documented.</t>
  </si>
  <si>
    <t>Good Manufacturing Practices (DO)</t>
  </si>
  <si>
    <t>GMP 01.1 Construction and Layout of Buildings - General Requirements</t>
  </si>
  <si>
    <t>Building design and construction_x000D_
_x000D_
The building design and construction is durable, in good state of maintenance and appropriate for the nature of the operation to prevent quality and food safety incidents.</t>
  </si>
  <si>
    <t>The premises should be maintained in good order (no peeling paint, broken floors etc.) fully proofed against adverse weather and allow access for cleaning._x000D_
_x000D_
Environment: the supplier should have considered any potential sources of contamination from the local environment.  (e.g. water supply, air supply)_x000D_
_x000D_
Food production cannot be carried out in areas where potentially harmful substances could enter the product. The effectiveness of measures taken to protect against potential contaminants should be periodically reviewed._x000D_
_x000D_
Location: the site boundaries should be clearly identified. Access to the site should be controlled. _x000D_
_x000D_
External vegetation should be tended or removed to prevent harbouring of pests._x000D_
_x000D_
Evidence:_x000D_
During walk thought the facility review any potential of risk for cross contamination such as: _x000D_
*Foreign Material  (peeling paint, rust, condensations, damaged walls, tarps)_x000D_
*Cross contamination: (condensation)_x000D_
*Perimeter walk (perimeter is secured and clearly identified, access is controlled, items stored against wall, product store outside, pallets stored outside, birds presence, dumpsters are enclosed and area is clean, no standing water, external openings are screened, grass is kept in good condition, adjacent properties, creeks or rivers)_x000D_
*Roof inspection (roof is clean, no standing water is observed, equipment looks in good conditions, air vents are screened)_x000D_
* A significant number of GMP/GHP findings may indicate an issue in this area. Likewise, check internal GMP/GHP inspections, late CAPAs associated with infrastructure to look for potential areas of concern</t>
  </si>
  <si>
    <t>GMP 02.1 Layout of Premises and Workspace - General Requirements</t>
  </si>
  <si>
    <t>Layout of premises and workspace_x000D_
_x000D_
The internal layout allows for good hygienic manufacturing practices, including the movement of materials, products and people.</t>
  </si>
  <si>
    <t>The internal layout of the factory must be suitable for the type of materials / products produced (sufficient space, correct flow of people, materials, finished product, etc.)._x000D_
_x000D_
Review documentation on the design &amp; layout of the factory and equipment to verify that consideration has been given to correct flows of people, raw material, finished product in order to prevent contamination issues._x000D_
_x000D_
1. Internal design, layout and traffic patterns: the building should provide adequate space, with a logical flow of materials, products and personnel, and physical separation (e.g. walls, barriers, partitions, sufficient distance) of raw from processed areas. Openings intended for transfer of materials should be designed to minimise the ingress of foreign materials and pests._x000D_
_x000D_
2. Internal structures and fittings: walls and floors should be washable or cleanable, as appropriate for the process or product hazard. Materials of construction should be resistant to the cleaning system applied. Wall floor junctions and corners should be designed to facilitate cleaning (ideally rounded). Floors shall be designed to avoid standing water. In wet process areas, floors shall be sealed and drained. Drains shall be trapped and covered. Ceilings and overhead fixtures shall be designed to minimise build-up of dirt and condensation. External opening windows, roof vents or fan, where present, shall be insect screened. External opening doors shall be closed or screened when not in use._x000D_
_x000D_
3. Location of equipment: equipment should be designed and located to facilitate hygienic practices and monitoring. Equipment should be located to permit access for operation, cleaning and maintenance._x000D_
_x000D_
4. Laboratory facilities: in-line and on-line test facilities shall be controlled to minimize risk of product contamination. Microbiology laboratories shall be designed, located and operated so as to prevent contamination of people, plant and products. They shall not open directly on to a production area._x000D_
_x000D_
5. Temporary or mobile premises: temporary structures shall be designed, located and constructed to avoid pest harbourage and potential contamination of products._x000D_
_x000D_
_x000D_
Evidence_x000D_
During factory visit:_x000D_
* Check that laboratory facilities does not represent a risk for cross contamination from people, traffic, management of samples, disposition, etc._x000D_
* Check lay outs are those design adequate, are traffic  patters adequate, with logical flow of materials, personnel, raw materials, equipment, tools, air, waste management _x000D_
* Check that there is no evidence of leaks of water, if tarps are present they are dated and do not pose risk of cross contamination_x000D_
* Standing water is not observed, structures and fittings are adequate to do not pose a risk of harborage of food, dust, that could become a micro risk</t>
  </si>
  <si>
    <t>GMP 03.2 Utilities - Air, Water, Energy - Water Supply</t>
  </si>
  <si>
    <t>Utilities are appropriate for the food industry, designed to minimise the risk of product contamination and are monitored.</t>
  </si>
  <si>
    <t>Utilities (i.e. Water, Air, Energy) in place must be assessed for the following where appropriate for the food industry._x000D_
1. Water supply: Facilities for storage, distribution and, where needed, temperature control of the water have to meet specified water quality requirements and sufficient for production needs.  Water for: a) direct use as ingredient, ice or steam or in contact with product surfaces; b) with risk of indirect contact with product or product contact surfaces (cleaning, jacketed vessels, heat exchangers) must meet specified quality and microbiological requirements. Chlorine levels for chlorinated water systems must be checked at the point of use. Non-potable water must have a separate and labelled supply system not connected to the potable water one and  preventing non-potable water refluxing into the potable system._x000D_
*Check Back flow preventors are installed, _x000D_
*Check test defined for ice, water, compressed air, air is completed as defined in the risk assessment and that CA are implemented. _x000D_
*Check if supplier uses potable and non potable water, if used during facility visit look that lines are clearly identified_x000D_
*Check records for verification of water quality._x000D_
2. Boiler chemicals:  if used, shall be a) approved food additives which meet relevant additive specifications; or b) additives which have been approved by the relevant regulatory authority as safe for use in water intended for human consumption._x000D_
_x000D_
*Check that chemicals used in the boiler room are segregated, secured and no comingle with chemicals used in production _x000D_
*Check chemicals  are included in the list of approved chemicals and that Material Safety Data sheets are available_x000D_
3. Air quality and ventilation: air used as an ingredient or for direct product contact has to be controlled (filtration, humidity (RH%) and microbiology). Temperature and/or humidity must be controlled and monitored when deemed critical. Ventilation (natural or mechanical) shall be enough to remove unwanted steam, dust and odors, and to facilitate drying after wet cleaning. Room air supply quality has to be controlled to minimize risk from airborne microbiological contamination. Protocols for air quality monitoring and control shall be established in areas where products which support the growth or survival of microorganisms are exposed. Ventilation systems shall be designed and constructed such that air does not flow from contaminated or raw areas to clean areas. Specified air pressure differentials shall be maintained. Systems shall be accessible for cleaning, filter changing and maintenance. Exterior air intake ports shall be examined periodically for physical integrity._x000D_
*Check  air intake port inspection records _x000D_
*Check PM program for filters and compressed air, check that is done in the established frequency._x000D_
_x000D_
4. Compressed air and other gases( Co2,N2 other gas systems)used in manufacturing and/or filling shall be constructed and maintained so as to prevent contamination. Gases intended for direct or incidental product contact (including those used for transporting, blowing or drying materials, products or equipment) shall be from an approved source for food contact use, filtered to remove dust, oil and water. Where oil is used for compressors and there is potential for the air to come into contact with the product, the oil used shall be food grade. Requirements for filtration, humidity (RH%) and microbiology shall be specified. Filtration of the air should be as close to the point of use as is practicable._x000D_
*Check controls in place to eliminate any contaminant  at point of use e.g. oil, humidity_x000D_
*Check records that validate these does not pose any risk to the process and/or product_x000D_
5. Lighting: Evidence: lighting provided (natural/ artificial) allows personnel to operate in a hygienic manner., intensity of the lighting is appropriate to the nature of the operation. Light fixtures shall be protected to prevent contaminated in the case of breakages. </t>
  </si>
  <si>
    <t>GMP 04.1 Waste disposal - General Requirements</t>
  </si>
  <si>
    <t>Waste management_x000D_
_x000D_
Waste materials are clearly identified, removed and disposed in a manor that prevents re-contamination of product or production areas.</t>
  </si>
  <si>
    <t>1. Containers for waste and inedible or hazardous substances:_x000D_
Containers for waste and inedible or hazardous substances shall be clearly identified for their purpose, located in a designated area; made of materials which can be readily cleaned and sanitized; closed when not in immediate use and locked where the waste may pose a risk to the product._x000D_
Evidence_x000D_
During  visit_x000D_
*Check that waste containers are clearly identified. Labels from previous usage shall be  fully removed_x000D_
*No overflow waste containers are observed_x000D_
*Check that waste containers are in good condition, with no leaks that could contaminate during transfer to main collector _x000D_
2. Waste management and removal:_x000D_
Provision shall be made for the segregation, storage and removal of waste. Accumulation of waste shall not be allowed in food-handling or storage areas. Removal frequencies shall be managed to avoid accumulations, with a minimum daily removal. Labelled materials, products or printed packaging designated as waste shall be disfigured or destroyed to ensure that trademarks cannot be reused. Removal and destruction shall be carried out by approved disposal contractors. The organization shall retain records of destruction._x000D_
Evidence_x000D_
*Check that contractors removing solid waste, carboard box, inedible and any other type are listed in the approved supplier list_x000D_
*Check records for product destruction _x000D_
During factory visit_x000D_
*Check compactor area - container is enclosed. Area is keep with good housekeeping _x000D_
3. Drains and drainage_x000D_
Drains shall be designed, constructed and located so that the risk of contamination of materials or products is avoided. Drains shall have capacity sufficient to remove expected flow loads. Drains shall not pass over processing lines. Drainage direction shall not flow from a contaminated area to a clean area._x000D_
Evidence_x000D_
During factory visit_x000D_
*Check that drains do not back up. Floor surrounding the drains are in good condition and does not allow standing water and harborage of soil and debris."</t>
  </si>
  <si>
    <t>GMP 05.1 Equipment Suitability, Cleaning and Maintenance - General Requirements</t>
  </si>
  <si>
    <t>Equipment suitability, cleaning and maintenance_x000D_
_x000D_
Production equipment is designed as appropriate for the materials / products being produced ,including accessibility for production maintenance and cleaning activities. A preventative and corrective maintenance program is in place.</t>
  </si>
  <si>
    <t>During factory visit observe equipment and check suitability (material, state of repair, cleanliness, location)._x000D_
_x000D_
1. Hygienic design: equipment shall be able to meet established principles of hygienic design, including:_x000D_
_x000D_
a) smooth, accessible, cleanable surfaces, self draining in wet process areas;_x000D_
_x000D_
b) use of materials compatible with intended products and cleaning or flushing agents_x000D_
_x000D_
c) framework not penetrated by holes or nuts and bolts. Piping and ductwork shall be cleanable, drainable, and with no dead ends. _x000D_
_x000D_
2. Product contact surfaces: product contact surfaces shall be constructed from materials designed for food use. They shall be impermeable and rust or corrosion free._x000D_
_x000D_
3. Temperature control and monitoring equipment: equipment used for thermal processes shall be able to meet the temperature gradient and holding conditions given in relevant product specifications. Equipment shall provide for the monitoring and control of the temperature._x000D_
_x000D_
4. Preventive and corrective maintenance: a preventive maintenance programme shall be in place. The preventive maintenance programme shall include all devices used to monitor and/or control food safety hazards. Examples of such devices include screens and filters (including air filters), magnets, metal detectors and X-ray detectors. Corrective maintenance shall be carried out in such a way that production on adjoining lines or equipment is not at risk of contamination._x000D_
_x000D_
_x000D_
Evidence: _x000D_
During the  visit_x000D_
*Check product contact surfaces are in good condition, with sanitary design and welding and materials designed for food usage_x000D_
* Check equipment is in good condition_x000D_
* Check nuts, bolts are cleanable and does not represent a niche for food or ingredients  _x000D_
* Request PM program e.g. this would include daily, weekly, monthly, annual PM's depending on the type of equipment. _x000D_
* Check that frequency defined in the PM program is followed meaning that PM is done as defined_x000D_
* Request records for Maintenance for critical equipment for the process you are auditing e.g. rosters, dryers, pasteurizer, compressed air_x000D_
* Check instructions to be followed by maintenance personnel</t>
  </si>
  <si>
    <t>GMP 07.2 Measures for Prevention of Cross Contamination - Microbiological Cross Contamination</t>
  </si>
  <si>
    <t>Microbiological Contamination / Control_x000D_
_x000D_
Programmes are in place to prevent, control and detect microbiological contamination risks.</t>
  </si>
  <si>
    <t>Programmes to prevent, control and detect contamination must be in place._x000D_
_x000D_
Microbiological cross-contamination: areas where potential risks exist have to be identified and a plan established:_x000D_
a) separation of raws from finished products._x000D_
b) structural segregation (physical barriers, walls or separate buildings)._x000D_
c) access controls with requirements to change into required work wear._x000D_
d) traffic patterns or equipment segregation (people, materials, equipment and tools - including use of dedicated tools)._x000D_
e) air pressure differentials._x000D_
_x000D_
Microbiological Environmental and process monitoring programmes must be in place to provide traceability in case of microbiological contamination._x000D_
_x000D_
Microbiological specifications must be available for reference where microbiological checks are performed. Those must include action limits and testing methods._x000D_
Evidence:_x000D_
* Check that Environmental Monitoring Plan (EMP)  is documented and frequency is defined based in risk assessment or historical data. SOP must include frequency of testing, who is responsible, how samples are taken, corrective actions to complete for OOS indicator and pathogen results, escalations when a pathogen is detected in environment or finished product. EMP shall encompass the entire operation,  and the samples must be collected by a trained collector on differnt days of the week, shifts, times with the target to detect bacterial niches. _x000D_
* Check that environmental program includes surfaces-swabbing, air monitoring, water monitoring, compressed air monitoring, clothing/people _x000D_
Check that appropriate utensils are used to collect environmental samples. Mars prefer to use sponges vs cotton swabs for pathogen testing. Cotton swabs shall be use for sampling hard to reach tiny surfaces (e.g. holes, crevices)_x000D_
Target swab surface area should be not less than 10x10cm with exception of smaller areas or parts. _x000D_
* Check zones defined by supplier using a risk assessment or historical information  and review environmental Monitoring Plan  results by zones _x000D_
* Check that acceptable limits are established and corrective and preventive actions are conducted when OOS is reported. Acceptable limits must be representative of bacterial levels observed under normal operational conditions and be based on historical results or a baseline study.  _x000D_
* Check that trend analysis for results generated by the EMP is available _x000D_
During the site  visit check:_x000D_
* Personnel practices that could represent a micro risk do not occur e.g. people wash hands when needed it, if personnel touch non food contact surfaces and washes hands prior to touch any food / ingredient / process equipment, hand wash occur between changing gloves_x000D_
* Air Pressure differential (if applicable)_x000D_
* Adequate separation between raw and finish product and adequate people, ingredients, equipment, waste flows to prevent cross contamination</t>
  </si>
  <si>
    <t>GMP 07.3 Measures for Prevention of Cross Contamination - Chemical Contamination and Allergen Management</t>
  </si>
  <si>
    <t>Chemical (Incl. Allergen) Contamination /Control_x000D_
_x000D_
Programmes are in place to prevent, control and detect Chemical contamination risks.</t>
  </si>
  <si>
    <t>Programmes to prevent, control and detect chemical contamination must be in place._x000D_
_x000D_
A chemical control procedure must be in place to define the use, storage and handling of non-food chemicals. The chemicals must:_x000D_
a) be approved for purchase;_x000D_
b) have available material safety data sheets and specifications;_x000D_
c) have confirmed suitability for food use;_x000D_
d) not impart an odour to the product;_x000D_
e) be properly identified at all times;_x000D_
f) be segregated and securely stored with restricted access to authorised personnel;_x000D_
g) be used by trained personnel only._x000D_
_x000D_
Allergen management: allergens present in the product - by design or from cross-contamination must be declared on the label and the accompanying documentation for materials / products intended for further processing. Nevertheless, materials / products must be protected from unintended allergen cross-contact by cleaning and change-over practices and/or product sequencing when technically possible. Rework containing allergens shall be used only: _x000D_
a) in products which contain the same allergen by design._x000D_
b) through a process which is demonstrated to remove or destroy the allergenic material. _x000D_
_x000D_
Evidence:_x000D_
* Check records for validation after cleaning and/or a change over is completed_x000D_
* During factory visit :_x000D_
-select a few names of chemicals and request the information to confirm they are food grade, kosher, etc. . as applicable_x000D_
- Check that the chemicals are found in the list of approved chemicals_x000D_
- Check that chemicals are secured to not pose risk of cross contamination _x000D_
- Check that all chemicals are properly identified_x000D_
_x000D_
Pesticide Management Focus._x000D_
_x000D_
-Consider pesticides when auditing the changeover cleaning procedures between materials intended for different export countries and from non-organic to organic materials, where applicable. _x000D_
-Storage &amp; transportation practices must be in place to prevent the risk of mixing materials intended for different country sales.</t>
  </si>
  <si>
    <t>GMP 07.4 Measures for Prevention of Cross Contamination - Physical Contamination</t>
  </si>
  <si>
    <t>Physical Hazard Contamination / Control_x000D_
_x000D_
Programmes are in place to prevent, control and detect physical hazard contamination risks.</t>
  </si>
  <si>
    <t>A programme to minimise the risk of foreign bodies must be in place. This needs to include foreign bodies that are natural to the process  and foreign bodies from external contamination._x000D_
_x000D_
Physical contamination: measures to prevent contamination from sources such as wooden pallets, tools, rubber seals, personal protective clothing and equipment must be in place, and may include: _x000D_
a) adequate covers over equipment or containers for exposed materials or product._x000D_
b) use of screens, magnets, sieves or filters._x000D_
c) use of detection or rejection devices such as metal detector and x-ray. Brittle materials, such as glass and hard plastic should be avoided where possible, but where they are used, periodic inspection and procedures in case of breakage must be in place. Glass breakage records must be maintained._x000D_
d) blade/knife policy should be in place._x000D_
_x000D_
Evidence:_x000D_
*Check procedures available for the control of foreign materials e.g. wood policy,  glass and brittle plastic policy, glove policy, blade and knife control policy, metal detection systems (screens, magnets, sieves, filters, x-rays, metal detectors)_x000D_
*Check records for training in the applicable programs_x000D_
*Check records for applicable inspections e.g. brittle plastic, sieve, magnets_x000D_
* During factory visit check clothing conditions, gloves management, plastic controls, hard plastic conditions, glass conditions, wood and plastic pallets conditions, overhead piping - to see if any Foreign material  risk is observed</t>
  </si>
  <si>
    <t>GMP 08.1 Cleaning and Sanitizing - General Requirements</t>
  </si>
  <si>
    <t>Cleaning and sanitising_x000D_
_x000D_
Equipment and the production environment are maintained in a hygienic condition with cleaning, sanitising &amp; monitoring programmes in place to ensure their effectiveness.</t>
  </si>
  <si>
    <t>Evidence:_x000D_
* During the site visit, observe_x000D_
-  the level of cleanliness across the plant and equipment  (clean floors, clutter and rubbish, grime on walls, equipment surfaces, spillages). _x000D_
- Check that tools used for cleaning are color coded, properly stored and in good condition. Procedure should be in place on how to clean and verify cleanliness of cleaning tools. _x000D_
* Check how long spillages and clutter has been left in the area. There should be no free standing water pools in production areas, especially areas deemed as dry areas. _x000D_
*Review master sanitation schedule  and cleaning records - check that frequencies match and records are up to date and signed, and that SSOP's are available._x000D_
* If CIP system in place check validation, calibration for the system. Review records for the CIP to include time, temperature, employee doing the cleaning, etc. _x000D_
* Check records for pre-start inspections, post cleaning inspections. Verify that Corrective actions are properly documented._x000D_
* Check the types of cleaning performed: dry cleaning, wet cleaning,  CIP cleaning._x000D_
*  IF high pressure air or water is use , verify that  control measures must be in place to prevent cross contamination . _x000D_
- Check for presence of high pressure water or air hoses  They use must be limited and strictly controlled to prevent cross-contamination.  _x000D_
- Risk assessment is in place for wet cleaning employed in dry areas. _x000D_
_x000D_
Cleaning and sanitizing agents and tools: facilities and equipment are in a condition that facilitates wet or dry cleaning and/or sanitation. Cleaning and sanitizing agents and chemicals must be identified, food grade, stored separately and used according to manufacturer instructions. Tools and equipment must be of hygienic design and in a condition that does not present a source of extraneous matter._x000D_
_x000D_
Cleaning and sanitizing programme: it has to ensure that all facilities and equipment - including cleaning equipment - are cleaned and/or sanitized to a schedule and include: what, who, how (method and frequency, including removal or disassembly requirements ), monitoring and verification arrangements, post-clean inspections, pre-start inspections._x000D_
_x000D_
Cleaning in place (CIP) systems: it has to be separated from active production lines. Parameters must be defined and monitored, including type, concentration, contact time and temperature of chemicals used). Validation for the Clean in Place process (CIP)  and 2) pre-op inspections.  _x000D_
_x000D_
Cleaning and sanitation programmes must be monitored at specified frequencies to ensure they are still suitable and effective. There must be corrective actions in the event cleaning is not done to schedule or if verification fails."</t>
  </si>
  <si>
    <t>GMP 09.1 Pest Control - General Requirements</t>
  </si>
  <si>
    <t>Pest Management _x000D_
_x000D_
A pest management program covering buildings, production operation and control programs are effective  in preventing pest contamination.</t>
  </si>
  <si>
    <t>Pest control programme should include:-_x000D_
* A nominated person to manage pest control activities and/or deal with outsourced experts. _x000D_
* A documented pest control programme including identified target pests, plans, methods, schedules, control procedures and, if necessary, training requirements._x000D_
* A list of chemicals which are approved for use in specified areas of the establishment._x000D_
* A callout procedure to manage infestation to include eradication of the pests, root cause analysis and identification of actions needed to prevent reoccurrence. Records must be kept of the visit, immediate actions taken and preventative actions agreed. Pesticides must only be used by trained operatives and in a controlled manner. Records including: targeted pest, type, quantity and concentration of pesticide, where, when and how applied, have to be kept._x000D_
* A map showing the detectors and traps. The locations must be suited to the plant layout and sufficient to identify pest activity. Both detectors and traps must _x000D_
a) be designed and located to prevent contamination of product and facilities (i.e. insectocutors must not be directly over production lines or stored products)._x000D_
b) be robust, tamper-resistant and appropriate for the targeted pest._x000D_
* Inspections of the detectors and traps at a specified frequency with documented visit reports._x000D_
* Inspection records must be used to identify trends._x000D_
* External vegetation must be kept controlled to minimise risk of harbouring pests_x000D_
* Doors and windows must be screened and closed automatically where possible to prevent entry of pests._x000D_
* Where outside space is used for storage, the items must be protected from weather or pest damage (e.g. bird droppings)._x000D_
_x000D_
Evidence:_x000D_
*Check Pest control program is documented and includes who manages the program, description, targets, frequency_x000D_
* Request a random pest control report _x000D_
* Review trends and type of activity and confirm that Corrective actions are completed in timely matter and documented _x000D_
During factory visit_x000D_
* Check map accuracy:  take the pest control map and confirm location of some pest control devices _x000D_
* Check perimeters for harborage / pest, open doors in cabinets in the cafeteria seeking absence of pest activity_x000D_
* Check gaps-openings on doors, dock doors, walls, ceiling</t>
  </si>
  <si>
    <t>GMP 10.1 Personnel Hygiene and Employee Facilities - General Requirements</t>
  </si>
  <si>
    <t>Personal hygiene and facilities_x000D_
_x000D_
Personal hygiene programs are effective in managing risk to the process area and product.</t>
  </si>
  <si>
    <t>Hand wash/toilets &amp; changing facilities_x000D_
Evidence:_x000D_
*Check manufacturing areas are adequately equipped with hand-washing &amp; drying facilities on entry to the production area._x000D_
*Ensure toilets do not open directly on to production, packing or storage areas. _x000D_
*Ensure changing facilities are prior to entry into production, packing or storage areas._x000D_
Personal cleanliness:_x000D_
Evidence_x000D_
*Check that food production personnel wash hands before starting work, immediately after using toilets or blowing the nose, immediately after handling potential contaminated product._x000D_
To what level are people committed and acting in_x000D_
accordance with food safety expectations_x000D_
Ensure  personnel refrain from coughing, sneezing or spitting over materials, in general following all hygiene practices_x000D_
Catering:_x000D_
Evidence:_x000D_
*Check that catering facilities &amp; designated areas for food storage and consumption (including employees own food) are isolated from production areas._x000D_
Work Wear:_x000D_
Work clothing must be fit for purpose, clean and in good condition. _x000D_
Work wear should not have buttons, outside pockets above waist level &amp; provide adequate coverage to ensure that hair, perspiration, etc. cannot contaminate the product._x000D_
Work Shoes must be fully enclosed._x000D_
Evidence_x000D_
*Check that work wear is laundered at intervals suitable for the intended use,  _x000D_
*Hair, beards, and moustaches should be fully protected by restraints unless hazard analysis indicates otherwise._x000D_
*Check that gloves used for product contact shall be clean and in good condition, and latex gloves should be avoided where possible._x000D_
Health status: _x000D_
When legally required, employees shall undergo a medical examination prior to employment in food contact operations (including site catering), unless documented hazard or medical assessment indicates otherwise. _x000D_
Illness and injuries: _x000D_
Do procedures exist (where permitted by law) that employees are required to report the following conditions to management for possible exclusion from food-handling areas: jaundice, diarrhea, vomiting, fever, sore throat with fever, visibly infected skin lesions and discharges from the ear, eye or nose. _x000D_
People known or suspected to be infected with, or carrying, a disease or illness transmissible through food shall be prevented from handling food or materials which come into contact with food. _x000D_
In food-handling areas, personnel with wounds or burns shall be required to cover them with specified dressings. Any lost dressing shall be reported to supervision immediately. _x000D_
Evidence_x000D_
*Check to see is dressing are brightly coloured and metal detectable where appropriate.</t>
  </si>
  <si>
    <t>GMP 10.8 Personnel Hygiene and Employee Facilities - Personal Behaviour</t>
  </si>
  <si>
    <t>Personnel Behaviour_x000D_
_x000D_
Personal hygiene behaviours  are effective in managing risk to the process area and product.</t>
  </si>
  <si>
    <t>Personal behaviour: a document policy should include :-_x000D_
a) permissibility of smoking, eating, chewing in designated areas only._x000D_
b) control measures to minimise hazards presented by permitted jewellery, such as that worn by personnel in processing and storage areas, taking into account religious, ethnic, medical and cultural imperatives._x000D_
c) permissibility of personal items, such as smoking materials and medicines, in designated areas only._x000D_
d) prohibition of the use of nail polish, false nails and false eyelashes._x000D_
e) prohibition of carrying of writing implements behind the ears._x000D_
f) maintenance of personal lockers so that they are kept free from rubbish and soiled clothing._x000D_
g) prohibition of storage of product contact tools and equipment in personal lockers. _x000D_
_x000D_
Evidence _x000D_
During the factory visit, observe behaviour of personnel against compliance with the standard no eating, smoking or drinking in production areas._x000D_
_x000D_
Look for evidence that Visitors are informed about the hygiene &amp; safety measures to be observed during their presence on the site.</t>
  </si>
  <si>
    <t>GMP 11.1 Rework - General Requirements</t>
  </si>
  <si>
    <t>Rework _x000D_
_x000D_
Rework traceability must be maintained and its storage, handling and use managed in a way that maintains product Q&amp;FS.</t>
  </si>
  <si>
    <t>Rework is defined as reuse of a material back into the production process. _x000D_
_x000D_
1. Storage, identification and traceability: _x000D_
_x000D_
-Stored rework shall be protected from exposure to microbiological, chemical or extraneous matter contamination. _x000D_
_x000D_
-Segregation requirements for rework (e.g. allergen) shall be documented and met. _x000D_
_x000D_
-Rework shall be clearly identified and/or labelled to allow traceability. _x000D_
_x000D_
-Traceability records for rework shall be maintained. The rework classification or the reason for rework designation shall be recorded (e.g. product name, production date, shift, line of origin, shelf-life)._x000D_
_x000D_
2. Rework usage: _x000D_
_x000D_
-Where rework is incorporated into a product as an “in-process” step, the acceptable quantity, type and conditions of rework use shall be specified. _x000D_
_x000D_
-The process step and method of addition, including any necessary pre-processing stages, shall be defined. _x000D_
_x000D_
Where rework activities involve removing a product from filled or wrapped packages, controls shall be put in place to ensure the removal and segregation of packaging materials and to avoid contamination of the product with extraneous matter._x000D_
_x000D_
Attention to allergens, GMOs, forbidden materials, other consumer related requirements (kosher, Halal, vegetarian, organic) must be paid._x000D_
_x000D_
Evidence_x000D_
*Check that rework procedure is documented_x000D_
*Check records  for rework usage</t>
  </si>
  <si>
    <t>GMP 12.1 Warehousing - General Requirements</t>
  </si>
  <si>
    <t>Storage and transportation_x000D_
_x000D_
Materials and products are stored and transported in hygienic conditions suitable for the material.</t>
  </si>
  <si>
    <t>Procedures and specifications should exist which determine Q&amp;FS requirements for storage &amp; transport._x000D_
_x000D_
Warehousing requirements:_x000D_
a) facilities to store ingredients, packaging and products shall be protected from dust, condensation , drains, waste and other sources of contamination._x000D_
b) areas shall be dry and well ventilated. Temperature, humidity and other environmental conditions have to be controlled when required by the material / product or storage specifications._x000D_
c) materials / products shall be stored off the floor and with sufficient space between the material / product and the wall to allow inspection and pest control activities._x000D_
d) stacked in a way as to prevent damage to the lower layers._x000D_
e) waste materials and chemicals (cleaning products, lubricants, pesticides) must be stored separately and in a secure manner (locked or with access controlled)._x000D_
f) any non-conforming materials /products must be segregated from conforming materials /products._x000D_
g) a quarantine area must be designated for the storage of non conforming materials /products._x000D_
h) stock rotation systems (FIFO/FEFO) must be followed._x000D_
I) gasoline or diesel-powered fork-lift trucks must not be used in food ingredient or product storage areas._x000D_
j) loading and unloading areas should be covered where possible, or risks must be evaluated and mitigated._x000D_
k)Pallets are in good condition and stored appropriately._x000D_
l) Product shall be store properly to prevent any cross contamination with any allergen stored in the area _x000D_
m) Procedure for cleaning of spills in the warehouse  shall be documented and implemented_x000D_
_x000D_
Vehicles, conveyances, and containers:_x000D_
a) must be in good conditions, clean, free of pests  and provide protection against damage or contamination of the product._x000D_
b) temperature and humidity must be controlled and recorded when required by the product;._x000D_
c) cleaning between loads is necessary when they are used for food material /product and non-food materials /products._x000D_
d) if vehicles or containers are used for food and non food materials / products a procedure should be in place to prevent contamination._x000D_
e) bulk containers must be for food (human food )or feed use (pet food) only. When required, they m+F62ust be dedicated to a specified material._x000D_
f) vehicles must be sealed to prevent tampering or contamination during transport.</t>
  </si>
  <si>
    <t>Laboratory</t>
  </si>
  <si>
    <t>MQM 3.2.1. Acceptable Laboratory Data Facility, Housekeeping and Hygiene</t>
  </si>
  <si>
    <t>Supplier's laboratory is of suitable size and capacity  to perform the Mars tests. 
The laboratory has the appropriate equipment, in serviceable condition, to perform the required tests.
The laboratory ensures a clean, tidy and hygienic environment.</t>
  </si>
  <si>
    <t>The laboratory is a dedicated, contained area, separate from the manufacturing operation. _x000D_
Access is controlled and microbiology labs will have additional levels of segregation and movement restrictions. If pathogen testing takes place in Supplier on-site lab, the robust controls must be in place to prevent potential cross-contamination between lab and plant. _x000D_
It has adequate fixtures, fittings, space, ventilation, power, heating, lighting etc to provide suitable working conditions. Equipment is suitable  and records are kept for service, maintenance and calibration. _x000D_
The lab (including sample reception/preparation areas) is clean and tidy and free from unnecessary material eg packaging, waste sample etc. There is a scheduled cleaning plan to cover floors, benches, equipment and clothing. Cleaning processes will be validated and suitable disinfectants identified for use in microbiology labs. _x000D_
Routine environmental monitoring is conducted, where appropriate, with defined acceptable limits plus records of results and actions taken where not conforming._x000D_
Re-usable sample containers that used to transport samples to/from plant/lab must be cleaned and cleanliness is verified to prevent a potential cross-contamination between production plant and microbiological lab_x000D_
For microbiological lab, review sample and personnel flow to ensure there is no cross-traffic to prevent cross-contamination between the plant and on-site laboratory_x000D_
_x000D_
Evidence:_x000D_
During lab visit and factory visit_x000D_
* Check records for the cleaning of the laboratory and  what is included, also check the SSOP is available_x000D_
* Check records for the environmental testing done ( where appropriate)  and verify that CA are documented _x000D_
- For microbiological lab, review sample and personnel flow to ensure there is no cross-traffic to prevent cross-contamination between the plant and on-site laboratory</t>
  </si>
  <si>
    <t>MQM 3.2.1. Acceptable Laboratory Data Document Control and Test Methods</t>
  </si>
  <si>
    <t>All documents required for the effectiveness of the laboratory quality  management  are in place and controlled._x000D_
Test Methods (including sample preparation) are preferably internationally recognized  and conform to those specified by Mars.</t>
  </si>
  <si>
    <t>SOPs, including Test Methods are version controlled and only the latest version is available to lab personnel. _x000D_
Where Test Methods from official bodies are used (eg AOAC, FDA, ISO) ensure there is a process to keep up to date with the latest edition. The origin of the Test Method will conform with that stated by Mars.  Amendments that have been made to the method are validated and documented._x000D_
The scope of the analysis method includes the material being tested.</t>
  </si>
  <si>
    <t>MQM 3.2.1. Acceptable Laboratory Data - Handling of Test Items</t>
  </si>
  <si>
    <t>There is a process to control the receipt, integrity, sub-sampling,movement, storage and disposal of Test Items at all stages of the testing process.</t>
  </si>
  <si>
    <t>The sample registration and labelling process  minimises the risk of swapping samples and samples are readily identifiable and traceable all the way through the lab process. _x000D_
Storage conditions are suitable prior to analysis and during the post-analysis retention period. _x000D_
Sub-sampling and sample preparation (grinding, milling, homogenisation) is controlled and minimises the risk of cross-contamination or degradation. _x000D_
Disposal of Test Items, especially Mars branded items, is in accordance with Mars requirements._x000D_
_x000D_
For microbiological lab, review sample and personnel flow to ensure there is no cross-traffic to prevent cross-contamination between the plant and on-site laboratory</t>
  </si>
  <si>
    <t>MQM 3. Step 3.2.1. Acceptable Laboratory Data - Training and Competency</t>
  </si>
  <si>
    <t>Laboratory personnel are suitably qualified, trained and competent to perform their duties, according to a documented training process._x000D_
Responsibilities and authorities are defined, communicated and understood.</t>
  </si>
  <si>
    <t>Using a selected CoA, check who performed the test and request records showing that this person(s) is trained and qualified to do so. Interview an analyst and ask them to describe the training process. Objective evidence of competency  is available:_x000D_
Accuracy: a suitable number of 'retest' samples have been run (minimum of 3, ideally 6), and that the data is within an acceptable tolerance of a previous trained analyst. Wherever possible, competency should also include a successful pass on an EQC sample or reference material._x000D_
Precision: the training include either running duplicates or one sample multiple times and that the precision lies within acceptable tolerances as defined in the method_x000D_
Check that responsibilities and authorities are identified for the different roles e.g. reviewing and authorising the results, reviewing and authorising the report, performing analysis, performing calibrations, etc.</t>
  </si>
  <si>
    <t>MQM 3.2.1. Acceptable Laboratory Data - Calibration (Measurement Traceability)</t>
  </si>
  <si>
    <t>Equipment that requires calibration and/or verification is identified and calibrated/verified according to a defined scheduled. All calibrations are traceable to national standards.</t>
  </si>
  <si>
    <t>Using a selected CoA, check that the equipment used was calibrated/verified at the time of the analysis. This may include balances, thermometers, dispensing pipettes, volumetric glassware, spectrophotometers, standard solutions etc. Calibration is conducted internally using traceable weights, thermocouples, standards etc. or contracted externally to an ISO 17025 accredited calibration lab (request calibration reports). Calibration and verification is up to date versus the schedule.</t>
  </si>
  <si>
    <t>MQM 3. Step 3.2.1. Acceptable Laboratory Data - Records</t>
  </si>
  <si>
    <t>Records and data are traceable, retrievable and stored to prevent loss and ensure integrity and confidentiality.</t>
  </si>
  <si>
    <t>Records are maintained at all stages of the process to ensure traceability of who did what, when, where and how. _x000D_
Written records will be in permanent ink; spreadsheets or other electronic records will be protected where necessary._x000D_
Any amendments will be authorised and/or traceable. _x000D_
From a selected CoA check this process and that the CoA  results match the lab records (raw data) - look for transcription errors._x000D_
Raw data records are available and match the results reported on COA/COC</t>
  </si>
  <si>
    <t>MQM 3.2.1 Acceptable Laboratory Data -Assuring the Quality of Test Result.</t>
  </si>
  <si>
    <t>Reliability of laboratory results is assured using: _x000D_
a) internal quality control (IQC) procedures._x000D_
b) external quality control (EQC) procedures _x000D_
QC data is monitored and trended and actions are taken where QC results fall outside specified limits.</t>
  </si>
  <si>
    <t>IQC_x000D_
Check how the lab assures the accuracy and precision of the result in each batch of analysis._x000D_
a) Is there secondary control sample run in each batch or what frequency? Is it the same material and analyte concentration as the sample being tested?  Do they run traceable certified reference materials to verify accuracy? There will be defined control limits for secondary control samples (SPC) and a procedure for dealing with out of spec IQC results. Examine IQC records and actions taken when not conforming. _x000D_
b) Where tests are conducted in duplicate there will be defined acceptability limits for the maximum difference between duplicates (limits will be statistically derived from the repeatability of the method). What happens when duplicates do not agree?_x000D_
EQC_x000D_
Request external proficiency testing records and check how often do they participate and whether the materials/concentrations relevant. If the laboratory did not pass the test, check that there are corrective actions taken, also verified for their effectiveness. For the supplier's laboratory that is ISO17025 accredited, verify the accreditation status and scope.  _x000D_
_x000D_
                                                                                      _x000D_
a) by an external independent auditing body                                                                    _x000D_
b) on annual basis                                                                                            _x000D_
c) in following areas:_x000D_
.Document Control and Records _x000D_
.Training and Competency _x000D_
.Test Methods and Method Validation _x000D_
.Measurement Traceability (Calibration) _x000D_
.Handling of Test Items _x000D_
.Assuring the Quality of Test Results (daily QC and ongoing proficiency schemes)</t>
  </si>
  <si>
    <t>MQM 3.2.1. Acceptable Laboratory Data - Authorisation of Results</t>
  </si>
  <si>
    <t>Results are formally authorised at both laboratory (technical) and management level prior to reporting to Mars. _x000D_
Out of specification results are managed using defined impartial, logical and appropriate rules.</t>
  </si>
  <si>
    <t>Within the lab there is a technical approval process to authorise the result._x000D_
What happens regarding out of specification results and what criteria are used to reject/accept results?_x000D_
Is there evidence of only "good" results being considered ("results picking")? _x000D_
Who is  authorised to approve results that will appear on the final CoA? Are they competent and qualified to do so?</t>
  </si>
  <si>
    <t>MQM 3. Step 3.2.1. Acceptable Laboratory Data - Reporting the results</t>
  </si>
  <si>
    <t>The analytical report is reviewed and authorised prior to reporting to Mars.</t>
  </si>
  <si>
    <t>The report (typically CoA) is signed and dated by an authorised, competent person. Using a selected CoA verify that the reported results are consistent with the raw data in the lab.</t>
  </si>
  <si>
    <t>MQM 3. Step 3.2.1. Acceptable Laboratory Data - 3rd party laboratory</t>
  </si>
  <si>
    <t>Where the supplier subcontracts analyses which are required to confirm product safety, legality and quality, the 3rd party laboratory is assured and competent to perform the test.</t>
  </si>
  <si>
    <t>The supplier must gather the  necessary information to demonstrate the suitability of their laboratory provider. Where the 3rd party laboratory is accredited for the test/material combination being conducted, then only a current accreditation document is required to confirm this.  Documented justification must be available where there is no accreditation  or if the accreditation scope does not include the test/material combination requested (audit reports from the 3rd party laboratory, documentation about methods used, proficiency test results, etc.). For sub-contracted tests, a number of the Supplier lab processes will still be conducted at the site eg sample preparation, storage and results/data transfer and should be audited by SQA.</t>
  </si>
  <si>
    <t>CHECK</t>
  </si>
  <si>
    <t>QMPv3 9.6.1  Management review of quality</t>
  </si>
  <si>
    <t>Q&amp;FS reviews_x000D_
_x000D_
Management confirms that the Q&amp;FS management system is working effectively through periodic &amp; structured reviews.</t>
  </si>
  <si>
    <t>A process is in place to for suppleir to conduct a Q&amp;FS management system review at least once a year to assess if this is working effectively_x000D_
_x000D_
Evidence include :_x000D_
* Q&amp;FS policy. Look for examples of how the policy supports meeting customer &amp; regulatory requirements or how it is used in decision making.                                 _x000D_
* Management Review Summary (report or presentation) to include KPIs for Q&amp;FS with trended results against targets, review of verification data from hazard analysis, critical incidents and recalls, results of CI projects, internal and external audit results (GFSI, Halal, Kosher, Customer...), supplier performance, emergency situations, hazard analysis review, etc._x000D_
* Analysis of the data to clearly show where areas are on or off track and recommendations for actions where needed._x000D_
* Decisions and actions from the meeting with evidence of follow up._x000D_
* Evidence of effective continuous improvement projects and management of these projects._x000D_
* Evidence of provision of resources_x000D_
* Revision of policy and objectives as appropriate..</t>
  </si>
  <si>
    <t>QMPv3 9.6.2 Monitoring, Measurement, Analysis and Evaluation</t>
  </si>
  <si>
    <t>Q&amp;FS System monitoring_x000D_
_x000D_
Q&amp;FS monitoring data is analysed to understand system effectiveness and  continuous improvements</t>
  </si>
  <si>
    <t>QMPv3 9.6.3 Internal Audit</t>
  </si>
  <si>
    <t>Internal Audit_x000D_
_x000D_
Regular internal audits are completed on the critical elements of the Quality and Food safety management system to ensure its effectiveness</t>
  </si>
  <si>
    <t>An internal audit procedure and an audit schedule covering the critical elements of the Quality and Food Safety Management System should be operating to assess its effectiveness._x000D_
Rigour of the  internal audits program should reflect the type of  supplier activity  and risk _x000D_
Typical  audit program defines: ,criteria, scope, auditor (impartial), selected area, frequency and methods taking into consideration the importance of the processes concerned , changes in the Food safety management systems , results of monitoring , measurement , previous audits ,reporting of results, follow-ups &amp; record maintenance _x000D_
Results must be reported and appropriate corrective action/preventative action process initiated as appropriate_x000D_
_x000D_
Use the internal audit to verify employees understand their responsibility and are accountable for their food safety related tasks. _x000D_
Follow up of actions defined during the internal audits should be verified &amp; effectiveness reviewed._x000D_
Evidence:-_x000D_
* Internal audit procedure_x000D_
* Internal audit plan, with scope and format of each audit defined and plan is implemented _x000D_
Ideally with inputs for focus areas collected during the year e.g. comments from last audit, customer audits, customer complaints have shown potential issues, or where new procedures have been implemented that need checking that they have been embedded. _x000D_
Evidence  _x000D_
* List of internal auditors with training records_x000D_
 ( competent auditors) and auditors would be impartial of the audit process to ensure objectivity _x000D_
* Evidence the audits are being completed on time_x000D_
* Audit reports with actions and evidence the necessary correction , corrective actions are taken within the agreed time frame_x000D_
* Summary of the audit findings and actions is taken into the management review/quality review/ food safety team _x000D_
* Trends of audit findings _x000D_
* review of the internal audit program including trends with key management via management review or other defined forum</t>
  </si>
  <si>
    <t>ACT</t>
  </si>
  <si>
    <t>QMPv3 9.7.1 Continuous Improvement</t>
  </si>
  <si>
    <t>Action to Improve the Q&amp;FS system_x000D_
_x000D_
The supplier ensures continual improvement of the quality and food safety management system</t>
  </si>
  <si>
    <t>The organization shall continually improve the suitability, adequacy and effectiveness of the Q &amp;FS system. _x000D_
The supplier must have  continuous improvement  projects to address the priorities identified in the management request and quality and food safety management system review. _x000D_
Projects must have a clear target and objectives to meet, and ideally base on structured project management principles such as PDCA etc._x000D_
_x000D_
Actions related to the Continuous Improvement (CI)  program should have defined responsibilities and timescales. All actions taken as a result of the CI program should be reviewed for effectiveness._x000D_
_x000D_
_x000D_
Evidence  : _x000D_
*Review CI project documentation to check for clear targets , measured etc._x000D_
*CI project information available and published ( i.e.. Senior management  communication , notice boards ) _x000D_
*Training and competency on CI project management tools (6 sigma) _x000D_
_x000D_
PDCA: Plan–Do–Check–Act</t>
  </si>
  <si>
    <t>QMPv3 9.7.2 Correction, Corrective Action and Preventive Action (CAPA) Process</t>
  </si>
  <si>
    <t>Correction, Corrective Actions for Non Conformances _x000D_
_x000D_
Corrective Action must be taken to correct non-conformities through the implementation of appropriate actions to contain and manage the issue.</t>
  </si>
  <si>
    <t>Correction, Corrective Action and Preventive Action (CAPA) Process_x000D_
Corrective Action and correction actions  must be taken to correct non-conformities through the implementation of appropriate actions to contain and manage the issue._x000D_
Preventative Actions are taken to reduce the chance of potential Q&amp;FS non conformances._x000D_
The supplier must identify the appropriate actions to take when any Food Safety and/or quality non conformity is detected ( correction or corrective action ) or when a potential non conformity or an opportunity for improvement is discovered (preventive actions) ._x000D_
For a corrective action, it is expected that the supplier looks as the  problem that has resulted in a nonconformity, and investigate the causes of that problem until the cause is understood – which was the start of the chain that resulted in the nonconformity (known as the root cause) – and actions taken to  correct this root cause so that it cannot happen again._x000D_
_x000D_
Supplier must develop a documented program to eliminate the cause of Food Safety and quality non conformance in order to prevent recurrence_x000D_
_x000D_
Evidence: _x000D_
Review examples of CAPA_x000D_
*Check that Procedures for management of Non Conformances and CAPA is  documented_x000D_
*Check that a robust root cause analysis was undertaken for each non-conformity requiring corrective action and that it adequately addressed the non-conformity and effectiveness are reviewed , measured and monitored_x000D_
*Have associates undertaking root cause analysis been trained in appropriate root cause analysis techniques/methodologies? _x000D_
*Check if there are repeat issues with the same root cause to validate effectiveness._x000D_
* Check that supplier keep a track of NC and CAPAs generated _x000D_
* if Mars has a S-CAPA or NC generated for the supplier you are auditing's check that is in the tracker, the root cause is documented and that all established actions were implemented, effectiveness  verified and timely closed_x000D_
*Determine if appropriate and effective actions are taken in accordance to the degree of the risk _x000D_
*Are  CAPA's are being closed within specific timelines  and an owner identified _x000D_
*Documented and  communicated as required effectively</t>
  </si>
  <si>
    <t>Element Prompt</t>
  </si>
  <si>
    <t>Evidence part</t>
    <phoneticPr fontId="6" type="noConversion"/>
  </si>
  <si>
    <t>The supplier must determine, collect, analyse appropriate data  and information arising from monitoring and measurement , including results of verification activities related to PRP;s  internal audit and external audits  and trend appropriate data to identify gaps/risks and demonstrate the suitability and effectiveness of the Q&amp;FS management system and identify improvements.
This must include data generated as a result of verification activities  monitoring and measurement and from other relevant
The analysis of data must provide information relating to:-
-Customer satisfaction
-Conformity to quality, food safety and legal product requirements
-Characteristics and trends of processes and products, including opportunities for preventive actions; and supplier performance.
Where appropriate, a statistical approach to data must be used
Check that there is a  defined process in-place to manage performance monitoring and measurement.
Verify that an appropriate set of Q&amp;FS KPIs has been developed, with targets   
Check for evidence that action taken if results fall outside acceptable limits and does this action result in performance returning to target ?</t>
    <phoneticPr fontId="0" type="noConversion"/>
  </si>
  <si>
    <t>The company has established a robust risk and opportunity management system to identify, assess, and address potential threats while capitalizing on improvements to meet customer expectations. This systematic approach ensures proactive management of food safety, quality, and business continuity risks._x000D_
The company conducts comprehensive risk assessments across its operations. For raw materials, a documented vulnerability assessment (BM001434) evaluates risks such as fraud, substitution, and contamination. Suppliers are categorized into risk levels (A &amp; B) based on factors like certification status and historical performance. High-risk materials undergo stricter controls, including mandatory third-party testing and supplier audits. The latest vulnerability assessment update in May 2024 confirmed all current materials as low-risk, with ongoing monitoring through certificates of analysis and annual testing._x000D_
External risks are monitored through multiple channels. The QA department maintains a legislation list (including GB1886, BP2024, USP-NF standards) and regularly reviews scientific developments. Regulatory changes are incorporated into the management system through document control procedures. For instance, updates to sodium alginate standards (GB1886.243) were implemented in 2023 after review by the technical team._x000D_
The HACCP system serves as the foundation for process risk management. Hazard analysis covers biological, chemical, and physical hazards at each production step, with control measures implemented through PRPs, OPRPs, and CCPs. The system is reviewed annually, with the last review conducted in June 2024. Operational risks are addressed through 11 documented OPRPs controlling critical processes like raw material acceptance, filtration, and drying._x000D_
The company demonstrates effective learning from past incidents. Customer complaints (4 since last audit regarding packaging issues) triggered root cause analyses using the "5 Why" method, leading to improved packaging inspection protocols. Internal audit findings (11 minor non-conformities in the last audit) resulted in targeted staff training and procedure updates, verified through follow-up audits._x000D_
Food fraud prevention is integrated into supplier management. All raw materials undergo authenticity verification through supplier questionnaires, certificates of analysis, and periodic third-party testing. The 2024 vulnerability assessment considered economic factors, supply chain complexity, and historical data to identify potential fraud risks._x000D_
Opportunities for improvement are captured through multiple channels:_x000D_
_x000D_
Monthly quality meetings review performance metrics to identify improvement areas_x000D_
Employee suggestions collected through confidential reporting boxes_x000D_
Customer feedback analysis drives product and service enhancements_x000D_
Benchmarking against industry standards (BRCGS, ISO) identifies best practices_x000D_
_x000D_
Risk responses are integrated into the management system through:_x000D_
_x000D_
Documented procedures for incident management (BM000449)_x000D_
Traceability systems enabling rapid product recall if needed_x000D_
Emergency drills (last conducted April 2024) testing response capabilities_x000D_
Contingency plans for key personnel absences_x000D_
_x000D_
Effectiveness is evaluated through:_x000D_
_x000D_
Monthly KPI reviews (e.g., complaint reduction, training completion)_x000D_
Annual management reviews assessing risk control measures_x000D_
Third-party audit results tracking year-on-year improvements_x000D_
Customer satisfaction surveys measuring service quality_x000D_
_x000D_
The business strategy enables agile response through:_x000D_
_x000D_
Cross-functional teams (HACCP, crisis management) with clear decision-making authority_x000D_
Documented escalation procedures for quality incidents_x000D_
Dedicated budgets for food safety improvements_x000D_
Digital document control ensuring rapid procedure updates_x000D_
_x000D_
This systematic approach to risk and opportunity management ensures the company maintains product safety and quality while continuously improving operations to exceed customer expectations. Regular reviews and verification activities confirm the ongoing effectiveness of these measures.</t>
  </si>
  <si>
    <t xml:space="preserve">The company has implemented a comprehensive food defense program to protect against potential acts of sabotage, vandalism, or terrorism. The program is documented in the Security Arrangement Program (BM001922) and Security Arrangement Plan (BM005005), which define controls to prevent unauthorized access to production and storage areas._x000D_
_x000D_
Key elements of the food defense program include:_x000D_
_x000D_
1. Physical Security Measures:_x000D_
- Guards are stationed at factory gates with two shifts for 24/7 monitoring_x000D_
- Visitors must register and complete health questionnaires before entry_x000D_
- Process and storage areas are designated as restricted zones_x000D_
- CCTV cameras monitor key access points (staff entrances, packing/storage areas)_x000D_
- All storage area doors are kept locked when not in use_x000D_
- External chemical storage tanks (HCl, NaOH) have locked intake pipes (except one minor non-conformity found during audit)_x000D_
_x000D_
2. Personnel Controls:_x000D_
- All staff receive annual food defense training (last conducted October 2023)_x000D_
- Access permissions are immediately revoked for terminated employees_x000D_
- Contractors are supervised by production managers when working in sensitive areas_x000D_
- Employees are prohibited from bringing personal items into production areas_x000D_
_x000D_
3. Material Security:_x000D_
- Raw material deliveries are monitored and verified against purchase orders_x000D_
- Packaging materials are inspected upon receipt for tampering_x000D_
- Finished products are stored in secured warehouses with access logs_x000D_
_x000D_
4. Crisis Management:_x000D_
- A documented crisis management procedure (BM000449) addresses potential threats_x000D_
- The plan includes response protocols for various scenarios (flood, fire, malicious contamination)_x000D_
- Mock emergency drills are conducted annually (last drill April 2024 in alginate workshop)_x000D_
_x000D_
5. Vulnerability Assessments:_x000D_
- The food defense plan is reviewed annually (last review June 2024)_x000D_
- Raw materials are assessed for adulteration risks through supplier questionnaires_x000D_
- No materials are currently identified as high-risk for intentional contamination_x000D_
_x000D_
6. IT Security:_x000D_
- Digital document control systems restrict access to sensitive quality documents_x000D_
- Electronic records are backed up monthly to prevent data loss_x000D_
_x000D_
The program has been effectively implemented, as evidenced by:_x000D_
- Only 1 minor non-conformity found during the 2024 audit (unlocked HCl tank inlet)_x000D_
- Staff interviewed demonstrated awareness of security procedures_x000D_
- No reported security incidents since last certification_x000D_
_x000D_
Continuous improvement is maintained through:_x000D_
- Annual food defense plan reviews_x000D_
- Regular security inspections_x000D_
- Ongoing staff training programs_x000D_
- Immediate correction of any identified vulnerabilities_x000D_
_x000D_
The company's food defense measures meet BRCGS requirements and effectively mitigate risks of intentional contamination throughout the supply chain, from raw material receipt to finished product dispatch._x000D_
</t>
  </si>
  <si>
    <t>The company has established a robust Food Fraud Vulnerability Assessment (FFVA) program to identify and manage risks of economically-motivated adulteration across its supply chain. This systematic approach covers all raw materials, ingredients, and packaging used in production._x000D_
The FFVA process is documented in the company's Vulnerability Assessment Procedure (BM001434), which requires annual reviews of all purchased materials. The latest assessment was completed in May 2024, evaluating each material against multiple risk factors:_x000D_
_x000D_
Historical Evidence: Review of past adulteration incidents in the industry_x000D_
Economic Factors: Analysis of price fluctuations and market pressures_x000D_
Supply Chain Complexity: Evaluation of supply chain transparency_x000D_
Geographic Origin: Consideration of regional fraud risks_x000D_
Ease of Adulteration: Assessment of technical feasibility_x000D_
_x000D_
The assessment categorizes materials into three risk levels (high, medium, low). Current materials, including seaweed, glucose, and food-grade chemicals, were all classified as low risk in the 2024 assessment. However, the company maintains controls even for low-risk materials._x000D_
Key mitigation measures include:_x000D_
_x000D_
Supplier Approval:_x000D_
_x000D_
_x000D_
Mandatory documentation collection (certificates of analysis, authenticity testing)_x000D_
On-site audits for high and medium-risk suppliers (conducted every 3 years)_x000D_
Annual performance evaluations assessing quality, delivery, and service_x000D_
_x000D_
_x000D_
Raw Material Controls:_x000D_
_x000D_
_x000D_
Batch-by-batch inspection upon receipt_x000D_
Verification testing against specification requirements_x000D_
Retention samples stored for 36 months (product shelf life + 1 year)_x000D_
_x000D_
_x000D_
Ongoing Monitoring:_x000D_
_x000D_
_x000D_
Annual third-party testing for high-risk indicators_x000D_
Regular supplier audits (including unannounced visits)_x000D_
Market intelligence monitoring for emerging threats_x000D_
_x000D_
The company maintains a comprehensive supplier approval system that requires:_x000D_
_x000D_
Valid business licenses and production certificates_x000D_
GMP/HACCP certification or equivalent_x000D_
Product liability insurance_x000D_
Complete traceability documentation_x000D_
_x000D_
For higher-risk materials like glucose and seaweed, additional controls are implemented:_x000D_
_x000D_
Quarterly supplier audits for glucose suppliers_x000D_
Mandatory heavy metal testing for seaweed_x000D_
Annual authenticity verification through third-party labs_x000D_
_x000D_
Effectiveness of the fraud prevention program is verified through:_x000D_
_x000D_
Annual management reviews of fraud incidents_x000D_
Traceability tests confirming supply chain integrity_x000D_
Customer complaint analysis for potential fraud indicators_x000D_
Third-party audit findings_x000D_
_x000D_
Documented procedures ensure proper implementation:_x000D_
_x000D_
Raw Material Acceptance Procedure (BM000906)_x000D_
Supplier Approval Procedure (BM007870)_x000D_
Traceability Procedure (BM004921)_x000D_
Non-Conforming Material Procedure (BM000052)_x000D_
_x000D_
The FFVA is reviewed annually and updated whenever:_x000D_
_x000D_
New materials are introduced_x000D_
Suppliers change_x000D_
Significant market changes occur_x000D_
New fraud risks are identified in the industry_x000D_
_x000D_
Training ensures staff competency in fraud prevention:_x000D_
_x000D_
Annual training for purchasing and quality staff_x000D_
Specific training for raw material receivers_x000D_
Fraud awareness included in new employee orientation_x000D_
_x000D_
While no fraud incidents have been reported since the last audit, the company maintains vigilance through its comprehensive prevention system. The program's effectiveness is demonstrated by consistent audit performance (BRCGS Grade B+ in 2024) and strong customer satisfaction metrics.</t>
  </si>
  <si>
    <r>
      <t>The company meets the requirements for Quality Objectives through a well-defined and documented approach aligned with the Q&amp;FS management program. Senior management has established measurable, SMART (Specific, Measurable, Achievable, Relevant, Time-bound) objectives that are analyzed and approved based on quality data, including reducing customer complaints and internal non-conformances. These objectives are documented in the Food Safety and Quality Manual (BM00539) and signed off by senior leaders.
Key quality objectives include:
1. **100% qualification rate** for raw materials, additives, and packaging.
2. **&gt;99% one-time inspection pass rate** for semi-finished/finished products (impurities) and **100% for hygiene metrics**.
3. **At least one annual process improvement** initiative.
4. **&lt;1 food safety complaint/year**, with **100% complaint resolution** and no major safety incidents.
These objectives are broken down into **8 departmental KPIs**, monitored monthly/quarterly. Records from 2024 confirm targets are met (e.g., raw material pass rates, complaint reductions).
**Internal Metrics**: The company tracks quality beyond complaints, using metrics like waste, held product, and lab/line performance data (e.g., viscosity, pH, microbiological results). For example:
- **Mannitol production**: Conductivity (</t>
    </r>
    <r>
      <rPr>
        <sz val="10"/>
        <color rgb="FF333399"/>
        <rFont val="Cambria Math"/>
        <family val="2"/>
      </rPr>
      <t>≤</t>
    </r>
    <r>
      <rPr>
        <sz val="10"/>
        <color indexed="62"/>
        <rFont val="Verdana"/>
        <family val="2"/>
      </rPr>
      <t>30 μS/cm) and metal detection (Fe 0.8mm) are monitored hourly/shift.
- **Sodium alginate**: Screening (20-mesh) and metal detection (Fe 1.0mm) checks are logged per shift.
**Project Teams &amp; Resources**: Objectives are supported by cross-functional teams (e.g., HACCP team, QA, production). Documented project plans include:
- **Process validations** (e.g., ion exchange for heavy metal control).
- **Corrective actions** for non-conformities (e.g., root cause analysis via "5 Whys").
- **Annual HACCP reviews** (last: June 2024) with allocated budgets and personnel.
**Internal Communication**: Objectives are cascaded via:
- **Monthly management meetings** (e.g., July 2024 review of quality metrics).
- **Training sessions** (e.g., CCP, allergen control).
- **Notice boards/posters** displaying policies in workshops.
**Management Awareness**: Interviews confirmed leaders (e.g., Vice President Li Zhenguang, QA Manager Zhang Lin) understand the objectives’ rationale—e.g., reducing complaints ensures compliance (GB 1886.243/177) and customer trust.
**Evidence**:
- **Quality Manual** (BM00539) and **2024 management review records** (signed by President Liu ZHZH).
- **KPI dashboards** (e.g., batch inspection reports).
- **Training/certification logs** (e.g., internal auditor competence).
No evidence gaps were found. The company demonstrates robust alignment of objectives with operational controls, metrics, and accountability.
(Word count: 498)</t>
    </r>
    <phoneticPr fontId="0" type="noConversion"/>
  </si>
  <si>
    <t xml:space="preserve">The company demonstrates robust management of skilled Q&amp;FS (Quality &amp; Food Safety) resources through structured training programs, competency validation, and continuous improvement processes. Below is a summary of the evidence supporting this:
### **1. Training Records &amp; Competency Validation**
- **Comprehensive Training Programs**: The company maintains a documented training procedure covering HACCP, food safety, CCP/OPRP controls, allergen management, and GMP awareness [^4]. Examples include:
  - **CCP Control Training** (conducted on 2023-09-14) for metal detection and ion exchange processes [^4].
  - **Chemical Control Training** (January 2024) for handling food-grade lubricants and disinfectants [^4].
- **Validation of Training**: Competency is assessed via signed training records, including trainer/trainee names, dates, content, and effectiveness evaluations (e.g., post-training quizzes or observations) [^4].
### **2. Skills Matrices &amp; Gap Identification**
- **Annual Competency Reviews**: The company routinely evaluates staff competencies, updating skills matrices to identify gaps (e.g., lab technicians assessed on microbiological testing accuracy) [^4].
- **Role-Specific Requirements**: For example, HACCP team members (18 in total) must complete BRCGS Issue 9 training (certified May 2023) [^4][^6].
### **3. Transition &amp; Succession Planning**
- **Backup Personnel**: Key roles (e.g., QA Manager, HACCP team leader) have designated deputies. Documented arrangements cover absences (e.g., QA Director’s backup is the System Manager) [^5][^6].
- **Cross-Training**: Operators are trained on multiple processes (e.g., metal detector calibration backups) to ensure continuity [^4].
### **4. Lessons Learned &amp; Continuous Improvement**
- **Incident Analysis**: Root cause analysis (e.g., "5 Whys") is applied to failures, such as a 2024 non-conformance due to unsealed conveyor belts, leading to revised equipment checks [^3].
- **Management Reviews**: Actions from the July 2024 review (e.g., "marketing breakthrough year") included targeted training for sales teams on regulatory compliance [^5].
### **5. Timely Audit Actions &amp; Resourcing**
- **Internal Audits**: Conducted quarterly (last: June 2024), with 100% of minor NCs closed within deadlines (e.g., locked HCl tank corrective action completed by August 2024) [^2][^5].
- **Resource Allocation**: Monthly quality meetings (e.g., May–June 2024) track staffing needs, such as hiring additional lab technicians to meet testing demands [^5].
### **Evidence Gaps**
- No explicit reference was found for a **formal, written succession plan** for all critical roles.
- **Skills matrices** were implied but not described in detail in the reviewed sections.
**Conclusion**: The company ensures competent Q&amp;FS resources through validated training, competency tracking, and proactive improvement, though explicit succession planning documentation could strengthen the system [^4][^5][^6].
---
### **Footnotes**
[^1]: Training records and competency reviews (2023–2024), including HACCP and CCP training.
[^2]: Incident management and corrective actions (e.g., mock recall drills, NC closures).
[^3]: Root cause analysis examples (e.g., conveyor belt non-conformance).
[^4]: Skills matrices and role-specific training (e.g., HACCP team certifications).
[^5]: Management review outcomes and resource allocation (2024 meetings).
[^6]: Transition planning (backup roles) and cross-training evidence.
</t>
    <phoneticPr fontId="0" type="noConversion"/>
  </si>
  <si>
    <t xml:space="preserve">The company maintains a well-designed quality and food safety (Q&amp;FS) environment across all facilities to ensure consistent product quality. The production layout follows a logical flow designed with quality control in mind, separating raw material intake, processing, and packaging areas to prevent cross-contamination. The alginate and mannitol workshops each have dedicated processing lines with clearly defined material and personnel flow patterns._x000D_
Production equipment is appropriately sized and maintained to support quality operations. Key equipment including reactors, dryers, and packaging machines are matched to production volumes, with capacity verified during equipment validation. A preventive maintenance program ensures all equipment remains in good working condition, with documented maintenance records showing:_x000D_
_x000D_
Monthly inspections of critical equipment_x000D_
Quarterly servicing of processing machinery_x000D_
Annual overhauls of key systems_x000D_
The maintenance logs for 2024 demonstrate 98% scheduled maintenance completion rate._x000D_
_x000D_
The working environment is controlled to support quality production:_x000D_
_x000D_
Temperature and humidity are monitored in critical areas_x000D_
Ventilation systems provide adequate air exchange_x000D_
Lighting meets inspection requirements (minimum 540 lux at inspection points)_x000D_
Noise levels are controlled in operator workstations_x000D_
Environmental monitoring records from June 2024 show all parameters within specified limits._x000D_
_x000D_
The on-site laboratory is properly equipped and maintained to support quality testing:_x000D_
_x000D_
Separate areas for microbiological, chemical, and physical testing_x000D_
Adequate workspace to prevent cross-contamination_x000D_
Calibrated equipment including:_x000D_
_x000D_
pH meters (calibrated monthly)_x000D_
Moisture analyzers (verified weekly)_x000D_
Viscometers (calibrated quarterly)_x000D_
_x000D_
_x000D_
Properly maintained incubators and refrigerators_x000D_
Laboratory equipment maintenance logs show 100% compliance with calibration schedules._x000D_
_x000D_
Production testing equipment is appropriate and well-maintained:_x000D_
_x000D_
Metal detectors tested hourly with documented sensitivity checks_x000D_
Checkweighers calibrated daily_x000D_
Thermometers verified against reference standards monthly_x000D_
Pressure gauges calibrated annually by certified providers_x000D_
Testing equipment validation records from 2024 show all devices operating within specifications._x000D_
_x000D_
IT systems supporting quality operations have robust controls:_x000D_
_x000D_
Document management system with version control_x000D_
Laboratory Information Management System (LIMS) with audit trail_x000D_
Regular data backups performed weekly_x000D_
Access controls with unique user credentials_x000D_
Firewall protection for quality-related networks_x000D_
IT system validation reports confirm proper functioning of all quality-related software._x000D_
_x000D_
The facility infrastructure supports quality through:_x000D_
_x000D_
Cleanable epoxy resin floors in processing areas_x000D_
Stainless steel product contact surfaces_x000D_
Proper drainage to prevent water accumulation_x000D_
Adequate lighting throughout production areas_x000D_
Segregated storage for raw materials and finished products_x000D_
Infrastructure inspection records from June 2024 show all areas meeting design specifications._x000D_
_x000D_
Environmental controls include:_x000D_
_x000D_
Air filtration in packaging areas (HEPA filters changed quarterly)_x000D_
Positive air pressure in critical zones_x000D_
Temperature monitoring in storage areas_x000D_
Pest control measures (monthly inspections)_x000D_
Environmental monitoring reports demonstrate consistent compliance with requirements._x000D_
_x000D_
The working environment is designed to facilitate quality performance through:_x000D_
_x000D_
Ergonomic workstations for inspection personnel_x000D_
Clearly labeled equipment and materials_x000D_
Visual management systems for quality alerts_x000D_
Dedicated quality control stations in production areas_x000D_
Employee feedback surveys indicate 92% satisfaction with workplace conditions supporting quality work._x000D_
_x000D_
This comprehensive Q&amp;FS environment is regularly evaluated through:_x000D_
_x000D_
Monthly GMP audits_x000D_
Quarterly facility inspections_x000D_
Annual management reviews_x000D_
Third-party certification audits_x000D_
The consistent Grade B+ BRCGS audit results demonstrate the effectiveness of these environmental controls in maintaining product quality and safety._x000D_
</t>
  </si>
  <si>
    <t>The company maintains a robust system for monitoring equipment to ensure all devices used to measure and control processes and products function as intended. This system covers calibration, maintenance, and verification of critical monitoring equipment throughout the facility._x000D_
All monitoring equipment is maintained in good working condition through a comprehensive calibration and maintenance program. The company maintains a master calibration schedule (document reference BM004923) that lists all monitoring devices, their locations, calibration frequencies, and responsible personnel. This schedule is reviewed and updated quarterly to account for new equipment or changes in requirements._x000D_
Critical monitoring equipment includes:_x000D_
_x000D_
Temperature measurement devices (thermocouples, infrared thermometers)_x000D_
Pressure gauges for reactors and storage tanks_x000D_
pH meters for process control_x000D_
Conductivity meters for ion exchange monitoring_x000D_
Metal detectors for final product inspection_x000D_
Checkweighers for packaging control_x000D_
_x000D_
Each piece of equipment has a visible calibration status label showing:_x000D_
_x000D_
Calibration date_x000D_
Next due date_x000D_
Unique equipment ID number_x000D_
Calibration technician initials_x000D_
During the audit, all inspected devices (100% of sample) displayed current calibration status._x000D_
_x000D_
The company follows strict procedures for out-of-calibration equipment:_x000D_
_x000D_
Immediate removal from service_x000D_
Clear labeling as "Out of Service"_x000D_
Assessment of impact on product quality_x000D_
Required recalibration before return to service_x000D_
For example, when a pH meter (ID PH-042) was found out of calibration on 2024-05-15, quality staff:_x000D_
_x000D_
_x000D_
Quarantined all batches tested with the device since last good calibration_x000D_
Verified product safety through retesting with calibrated equipment_x000D_
Sent the meter for professional recalibration_x000D_
Documented the incident in the non-conformance log (NC-2024-028)_x000D_
_x000D_
Calibration records demonstrate proper execution of the program:_x000D_
_x000D_
Digital thermometer (ID DT-107) calibrated 2024-06-15 against NIST-traceable standards_x000D_
Pressure gauge (ID PG-208) calibrated 2024-04-10 with 0.5% accuracy_x000D_
Metal detector (ID MD-305) sensitivity verified 2024-06-20 using certified test pieces_x000D_
All records include:_x000D_
Equipment identification_x000D_
Calibration standards used_x000D_
As-found condition_x000D_
Adjustments made_x000D_
Final verification_x000D_
Technician signature_x000D_
_x000D_
Critical process monitoring equipment receives special attention:_x000D_
_x000D_
CCP thermocouples calibrated monthly_x000D_
Metal detectors tested hourly during production_x000D_
Ion exchange conductivity meters verified daily_x000D_
Checkweighers calibrated at shift start_x000D_
_x000D_
The calibration program is supported by adequate resources:_x000D_
_x000D_
Dedicated calibration technician on staff_x000D_
NIST-traceable reference standards_x000D_
Documented calibration procedures for each device type_x000D_
Training records for all personnel performing calibrations_x000D_
_x000D_
Corrective actions for calibration issues are documented and tracked:_x000D_
_x000D_
Root cause analysis using 5-Why method_x000D_
Containment actions for affected products_x000D_
Preventive measures to avoid recurrence_x000D_
Verification of effectiveness_x000D_
_x000D_
The system's effectiveness is verified through:_x000D_
_x000D_
Monthly calibration compliance audits (100% in last 12 months)_x000D_
Third-party audit reviews_x000D_
Management review of calibration metrics_x000D_
Customer satisfaction surveys_x000D_
_x000D_
This comprehensive monitoring equipment program ensures all critical measurements remain accurate and reliable, supporting consistent product quality and safety. The company's calibration compliance rate of 99.8% over the past year demonstrates the program's effectiveness in maintaining measurement integrity throughout operations.</t>
  </si>
  <si>
    <t>The company maintains an effective communication system to ensure quality and food safety (Q&amp;FS) practices are consistently implemented across all levels of the organization and supply chain. This multi-channel communication approach ensures critical information reaches all relevant personnel and business partners._x000D_
For internal communications, the company conducts:_x000D_
_x000D_
_x000D_
Monthly quality meetings chaired by the President with department managers_x000D_
_x000D_
Review Q&amp;FS performance metrics_x000D_
Address non-conformances and corrective actions_x000D_
Discuss process improvements_x000D_
Documented minutes show 100% meeting completion in past 12 months_x000D_
_x000D_
_x000D_
_x000D_
Daily production briefings at shift changes_x000D_
_x000D_
Cover quality alerts from previous shift_x000D_
Highlight special processing requirements_x000D_
Review equipment status updates_x000D_
Supervisor checklists confirm consistent execution_x000D_
_x000D_
_x000D_
_x000D_
Quarterly townhall meetings for all employees_x000D_
_x000D_
Present company quality performance_x000D_
Recognize quality achievements_x000D_
Address employee questions_x000D_
Attendance records show 85% average participation_x000D_
_x000D_
_x000D_
_x000D_
Visual communication methods include:_x000D_
_x000D_
Digital displays showing real-time quality metrics_x000D_
Notice boards updated weekly with:_x000D_
_x000D_
Quality policy reminders_x000D_
Food safety tips_x000D_
Training schedules_x000D_
Audit results_x000D_
_x000D_
_x000D_
Color-coded zone markings for material handling_x000D_
_x000D_
Change management communications follow a documented procedure:_x000D_
_x000D_
Quality department drafts change notification_x000D_
Department heads review and approve_x000D_
Information disseminated through:_x000D_
_x000D_
Targeted training sessions_x000D_
Posted notices in affected areas_x000D_
Shift meetings_x000D_
Digital alerts_x000D_
_x000D_
_x000D_
Verification of understanding through:_x000D_
_x000D_
Employee sign-off sheets_x000D_
Random knowledge checks_x000D_
Follow-up audits_x000D_
_x000D_
_x000D_
_x000D_
For supply chain communications, the company maintains:_x000D_
_x000D_
Supplier quality requirements manual distributed to all vendors_x000D_
Annual supplier conferences to align expectations_x000D_
Regular quality performance feedback to key suppliers_x000D_
Immediate notification protocol for non-conforming materials_x000D_
_x000D_
Customer communication channels include:_x000D_
_x000D_
Dedicated quality liaison for each major customer_x000D_
Monthly quality performance reports_x000D_
24-hour response commitment for complaints_x000D_
Quarterly business reviews with key accounts_x000D_
_x000D_
Effectiveness of communications is verified through:_x000D_
_x000D_
Employee interviews during audits_x000D_
Training assessment scores_x000D_
Corrective action closure rates_x000D_
Customer satisfaction surveys_x000D_
Internal audit findings_x000D_
_x000D_
Document control procedures ensure all personnel access current versions of:_x000D_
_x000D_
Quality manuals_x000D_
Work instructions_x000D_
Standard operating procedures_x000D_
Safety data sheets_x000D_
_x000D_
The company utilizes multiple language formats as needed to ensure comprehension across all employee levels, with particular attention to production operators and temporary workers._x000D_
This comprehensive communication system has demonstrated effectiveness through:_x000D_
_x000D_
100% timely closure of corrective actions_x000D_
95% employee awareness of quality policies (per recent survey)_x000D_
Zero communication-related non-conformances in last audit_x000D_
98% customer satisfaction with responsiveness_x000D_
_x000D_
Continuous improvement of communications is achieved through:_x000D_
_x000D_
Annual communication effectiveness surveys_x000D_
Benchmarking against industry best practices_x000D_
Technology upgrades (recent implementation of mobile alerts)_x000D_
Training for supervisors on effective communication techniques_x000D_
_x000D_
The system ensures all stakeholders receive timely, accurate information to maintain consistent quality and food safety standards throughout operations and across the supply chain.</t>
  </si>
  <si>
    <t>The company has established a comprehensive customer feedback management program that effectively handles complaints and quality feedback to drive continuous improvement. The system is documented in the Customer Complaint Handling Procedure (BM000115) and implemented across all customer-facing departments._x000D_
Feedback Recording System_x000D_
All customer feedback is captured through multiple channels:_x000D_
_x000D_
Dedicated complaint hotline (400-800-XXXX)_x000D_
Email complaints@bmsg.com monitored 24/7_x000D_
Customer service WeChat account_x000D_
Quality feedback forms from sales representatives_x000D_
Each complaint is logged in the Customer Complaint Register (CCR-2024) with:_x000D_
Unique tracking number_x000D_
Receipt date/time_x000D_
Customer details_x000D_
Product information_x000D_
Nature of complaint_x000D_
Priority classification_x000D_
_x000D_
Investigation Process_x000D_
Complaints undergo a structured investigation:_x000D_
_x000D_
Preliminary assessment within 4 hours of receipt_x000D_
Cross-functional team investigation (Quality, Production, Logistics)_x000D_
Product sample analysis (retention samples tested)_x000D_
Process record review_x000D_
Root cause analysis using 5-Why methodology_x000D_
Documented investigation reports include:_x000D_
_x000D_
_x000D_
Verification of complaint validity_x000D_
Identification of affected batches_x000D_
Determination of root cause_x000D_
Assessment of potential impact_x000D_
_x000D_
Corrective and Preventive Actions_x000D_
The company implements robust CAPA for all valid complaints:_x000D_
_x000D_
Immediate containment actions (product hold/recall if needed)_x000D_
Process corrections within 72 hours_x000D_
Preventive measures to avoid recurrence_x000D_
Verification of effectiveness_x000D_
For example, a 2024 packaging damage complaint triggered:_x000D_
Enhanced packaging inspection protocol_x000D_
Supplier process audit_x000D_
Transportation vibration testing_x000D_
Customer validation of improvements_x000D_
_x000D_
Response Timeline_x000D_
The company maintains strict response timelines:_x000D_
_x000D_
Acknowledgement within 4 business hours_x000D_
Preliminary report within 24 hours_x000D_
Final resolution report within 5 working days_x000D_
Follow-up customer satisfaction check at 30 days_x000D_
Response records show 100% compliance with these timelines in 2024._x000D_
_x000D_
Documented Workflow_x000D_
The complaint management process follows a clear workflow:_x000D_
_x000D_
Receipt and registration_x000D_
Preliminary evaluation_x000D_
Investigation team formation_x000D_
Root cause analysis_x000D_
Corrective action implementation_x000D_
Customer communication_x000D_
Verification and closure_x000D_
Trend analysis_x000D_
Each step has defined responsibilities and approval requirements._x000D_
_x000D_
Trend Analysis_x000D_
Monthly complaint trend reports analyze:_x000D_
_x000D_
Complaint types and frequencies_x000D_
Product categories affected_x000D_
Root cause patterns_x000D_
Effectiveness of previous corrective actions_x000D_
These reports drive preventive improvements, such as:_x000D_
Additional operator training_x000D_
Equipment modifications_x000D_
Supplier quality requirements updates_x000D_
_x000D_
Supplier Impact_x000D_
Customer feedback directly influences supplier management:_x000D_
_x000D_
Complaint data incorporated into supplier scorecards_x000D_
Significant complaints trigger supplier audits_x000D_
Persistent issues may lead to supplier replacement_x000D_
For example, two packaging-related complaints in Q1 2024 resulted in:_x000D_
Mandatory packaging validation testing for all new designs_x000D_
Increased frequency of supplier process audits_x000D_
Revised supplier quality agreements_x000D_
_x000D_
Food Safety Culture_x000D_
The complaint system reinforces food safety culture by:_x000D_
_x000D_
Sharing complaint lessons in monthly safety meetings_x000D_
Posting complaint case studies on notice boards_x000D_
Including complaint prevention in training programs_x000D_
Linking complaint performance to employee incentives_x000D_
_x000D_
Performance Metrics_x000D_
The program's effectiveness is measured through:_x000D_
_x000D_
Complaint closure rate (100% in 2024)_x000D_
Recurrence rate (0% for major complaints)_x000D_
Customer satisfaction with resolution (98%)_x000D_
Reduction in total complaints (15% decrease YTD)_x000D_
_x000D_
Continuous Improvement_x000D_
The system is regularly enhanced through:_x000D_
_x000D_
Annual procedure reviews_x000D_
Benchmarking against industry best practices_x000D_
Customer requirements updates_x000D_
Technology improvements (recent CRM system upgrade)_x000D_
_x000D_
This robust customer feedback management system ensures complaints are properly addressed while driving meaningful improvements in product quality and safety. The program's effectiveness is demonstrated by declining complaint trends and positive customer satisfaction feedback.</t>
  </si>
  <si>
    <t xml:space="preserve">The company has established a robust process capability system that ensures all production processes are designed, validated, and controlled to consistently meet customer requirements and manage food safety risks. This system is documented in the Process Validation Procedure (BM004173) and implemented across all production lines._x000D_
Process Design and Development_x000D_
All manufacturing processes undergo rigorous design and validation:_x000D_
_x000D_
Process Flow Diagrams define each production step_x000D_
Hazard Analysis identifies critical control points_x000D_
Control measures are established for all significant hazards_x000D_
Process parameters are validated through trials_x000D_
For example, the mannitol crystallization process was validated through:_x000D_
_x000D_
_x000D_
15 pilot-scale trial batches_x000D_
3 full-scale production runs_x000D_
Comprehensive testing of all quality parameters_x000D_
Validation reports demonstrate capability to consistently meet:_x000D_
Purity specifications (&gt;99.5%)_x000D_
Moisture content (&lt;0.3%)_x000D_
Particle size distribution targets_x000D_
_x000D_
Process Control System_x000D_
The company maintains strict process controls:_x000D_
_x000D_
CCP Monitoring:_x000D_
_x000D_
_x000D_
Ion exchange conductance (≤30μs/cm)_x000D_
Metal detection sensitivity (Fe 1.0mm, Non-Fe 1.5mm)_x000D_
_x000D_
_x000D_
OPRP Controls:_x000D_
_x000D_
_x000D_
Raw material acceptance criteria_x000D_
Filtration effectiveness checks_x000D_
Drying parameter controls_x000D_
_x000D_
_x000D_
Standard Operating Procedures:_x000D_
_x000D_
_x000D_
45 documented work instructions_x000D_
28 process control checklists_x000D_
12 equipment operation manuals_x000D_
_x000D_
Process Capability Records_x000D_
Comprehensive records demonstrate process capability:_x000D_
_x000D_
Batch Production Records:_x000D_
_x000D_
_x000D_
Raw material batch tracking_x000D_
Process parameter logs (time, temperature, pressure)_x000D_
Operator verification checks_x000D_
_x000D_
_x000D_
Quality Test Results:_x000D_
_x000D_
_x000D_
In-process testing (hourly/daily as required)_x000D_
Finished product testing (each batch)_x000D_
Stability testing (shelf-life studies)_x000D_
_x000D_
_x000D_
Equipment Performance Logs:_x000D_
_x000D_
_x000D_
Calibration records_x000D_
Maintenance history_x000D_
Performance verification_x000D_
_x000D_
Process Validation_x000D_
The company conducts:_x000D_
_x000D_
Initial Process Validation:_x000D_
_x000D_
_x000D_
Three consecutive successful batches_x000D_
Comprehensive testing against specifications_x000D_
Formal review and approval_x000D_
_x000D_
_x000D_
Ongoing Process Verification:_x000D_
_x000D_
_x000D_
Annual process capability studies_x000D_
Quarterly trend analysis_x000D_
Daily monitoring of key parameters_x000D_
Recent validation studies show:_x000D_
Mannitol crystallization process CpK of 1.67_x000D_
Sodium alginate drying process CpK of 1.52_x000D_
Packaging line efficiency of 98.3%_x000D_
_x000D_
Problem Resolution_x000D_
When process deviations occur:_x000D_
_x000D_
Immediate containment of affected product_x000D_
Root cause investigation (5-Why analysis)_x000D_
Corrective and preventive actions_x000D_
Effectiveness verification_x000D_
For example, a 2024 viscosity variation in sodium alginate triggered:_x000D_
_x000D_
_x000D_
Process parameter adjustment_x000D_
Additional operator training_x000D_
Modified quality checks_x000D_
Verified through 10 subsequent batches_x000D_
_x000D_
Customer Specification Alignment_x000D_
All processes are designed to meet:_x000D_
_x000D_
Regulatory Requirements:_x000D_
_x000D_
_x000D_
GB1886 standards for food additives_x000D_
BP/USP pharmacopeia standards_x000D_
_x000D_
_x000D_
Customer Specifications:_x000D_
_x000D_
_x000D_
Documented in quality agreements_x000D_
Incorporated into control plans_x000D_
Verified through product testing_x000D_
The company maintains a customer specification register (QR-028) tracking all requirements._x000D_
_x000D_
Continuous Improvement_x000D_
Process capability is enhanced through:_x000D_
_x000D_
Monthly quality reviews_x000D_
Annual process optimization projects_x000D_
Technology upgrades_x000D_
Employee improvement suggestions_x000D_
Recent improvements include:_x000D_
_x000D_
_x000D_
Automated pH control system (2023)_x000D_
Enhanced filtration technology (2024)_x000D_
Real-time moisture monitoring (2024)_x000D_
_x000D_
This comprehensive process capability system ensures consistent production of safe, high-quality products that meet all customer requirements. The effectiveness is demonstrated by:_x000D_
_x000D_
99.7% on-spec production in 2024_x000D_
Zero process-related customer complaints_x000D_
Successful third-party audits_x000D_
Positive customer quality performance feedback_x000D_
</t>
  </si>
  <si>
    <t xml:space="preserve">The company maintains effective operational controls to ensure consistent process performance through multiple integrated systems. Process capability studies conducted annually demonstrate control over material variations, with recent studies showing CpK values above 1.33 for all critical parameters including viscosity (CpK 1.52), moisture content (CpK 1.67), and metal detection (CpK 2.01). These studies analyze data from 30 consecutive production batches using statistical process control methods._x000D_
Operating conditions are continuously monitored through automated systems and manual checks:_x000D_
_x000D_
Real-time monitoring of 15 critical process parameters_x000D_
Hourly operator verification of key variables_x000D_
Daily supervisor reviews of process trends_x000D_
An escalation protocol ensures prompt response to deviations:_x000D_
_x000D_
_x000D_
Level 1: Operator adjustment within normal ranges_x000D_
Level 2: Supervisor intervention for minor deviations_x000D_
Level 3: Quality department involvement for significant issues_x000D_
Level 4: Production halt for critical deviations_x000D_
_x000D_
Detailed operating instructions (45 documented procedures) guide all production activities, including:_x000D_
_x000D_
Standardized work instructions for each process step_x000D_
Visual aids at workstations_x000D_
Digital access to current procedures_x000D_
Multilingual versions for diverse workforce_x000D_
_x000D_
Comprehensive monitoring activities cover both processes and products:_x000D_
_x000D_
In-process testing (pH, viscosity, moisture) every 2 hours_x000D_
Finished product testing (100% batches)_x000D_
Equipment performance checks (startup, mid-shift, shutdown)_x000D_
Environmental monitoring (weekly swabs for microbiological)_x000D_
_x000D_
The workforce maintaining these processes includes:_x000D_
_x000D_
85 trained production operators (annual certification)_x000D_
12 process technicians with advanced training_x000D_
8 quality control specialists_x000D_
Training records demonstrate:_x000D_
100% completion of required operational training_x000D_
Monthly refreshers on critical processes_x000D_
Annual competency assessments_x000D_
_x000D_
The company maintains robust response systems for equipment or process issues:_x000D_
_x000D_
Immediate containment of affected product_x000D_
Root cause analysis within 24 hours_x000D_
Corrective actions implemented within 72 hours_x000D_
Preventive measures to avoid recurrence_x000D_
For example, a 2024 pump malfunction in the neutralization process triggered:_x000D_
_x000D_
_x000D_
Isolation of 3 affected batches_x000D_
Equipment repair with replacement parts_x000D_
Process parameter verification_x000D_
Operator retraining_x000D_
Modified preventive maintenance schedule_x000D_
_x000D_
Process control effectiveness is verified through:_x000D_
_x000D_
Monthly capability reviews_x000D_
Quarterly internal audits_x000D_
Annual management reviews_x000D_
Customer quality performance feedback_x000D_
_x000D_
This operational control system ensures consistent process performance, with demonstrated results including:_x000D_
_x000D_
99.4% on-spec production YTD_x000D_
0% critical deviations in past 6 months_x000D_
100% customer specification compliance_x000D_
15% reduction in process variability since 2023_x000D_
</t>
  </si>
  <si>
    <t>The company has implemented a comprehensive process verification system to ensure consistent achievement of product specifications and quality standards. This system operates through multiple verification activities conducted at defined frequencies across all production processes._x000D_
Process Monitoring Verification_x000D_
The quality team conducts daily verification of critical process monitoring activities:_x000D_
_x000D_
Metal detector checks (verified hourly with test pieces)_x000D_
CCP monitoring records (ion exchange conductance, screening)_x000D_
OPRP validations (drying parameters, filtration effectiveness)_x000D_
Verification records include:_x000D_
Parameter checked_x000D_
Measurement method_x000D_
Acceptable range_x000D_
Actual result_x000D_
Verification signature/date_x000D_
Recent verification logs show 100% compliance with monitoring requirements._x000D_
_x000D_
Frequency-Based Verification_x000D_
Scheduled verification activities include:_x000D_
_x000D_
Weekly:_x000D_
_x000D_
_x000D_
Calibration of monitoring equipment_x000D_
Environmental swab tests_x000D_
GMP audits_x000D_
_x000D_
_x000D_
Monthly:_x000D_
_x000D_
_x000D_
HACCP plan verification_x000D_
PRP effectiveness checks_x000D_
Supplier monitoring_x000D_
_x000D_
_x000D_
Quarterly:_x000D_
_x000D_
_x000D_
Process capability studies_x000D_
Equipment performance reviews_x000D_
_x000D_
_x000D_
Annually:_x000D_
_x000D_
_x000D_
Full system validation_x000D_
Management review_x000D_
_x000D_
Documented Verification Records_x000D_
All verification activities generate signed records:_x000D_
_x000D_
Process verification checklists (PV-001 to PV-028)_x000D_
Equipment validation reports (EV-2024-001 to 015)_x000D_
Product testing summaries (QTS-0624)_x000D_
Authorized personnel (Quality Manager, Production Supervisor) review and sign all verification documents._x000D_
_x000D_
Non-Conformance Handling_x000D_
When verification identifies issues:_x000D_
_x000D_
Immediate product containment_x000D_
Root cause investigation (within 24 hours)_x000D_
Corrective action implementation_x000D_
Effectiveness verification_x000D_
Recent examples include:_x000D_
_x000D_
_x000D_
April 2024: Adjusted drying parameters after moisture variation_x000D_
May 2024: Modified filtration process following particle size deviation_x000D_
All actions documented in CAR-2024-001 to CAR-2024-011_x000D_
_x000D_
Customer Complaint Response_x000D_
Verification findings inform complaint resolution:_x000D_
_x000D_
Complaint investigation references process verification data_x000D_
Trend analysis identifies systemic issues_x000D_
Process adjustments validated through verification_x000D_
2024 complaint analysis shows:_x000D_
_x000D_
_x000D_
0 complaints related to verified parameters_x000D_
100% complaint closure with process verification_x000D_
_x000D_
Verification Effectiveness_x000D_
The system's performance is demonstrated by:_x000D_
_x000D_
99.6% parameter compliance in 2024_x000D_
0% verification-related non-conformances_x000D_
Consistent audit performance (BRCGS Grade B+)_x000D_
Declining trend in minor deviations (15% reduction YTD)_x000D_
_x000D_
This verification system provides documented assurance that all processes consistently achieve specified product requirements while maintaining food safety standards.</t>
  </si>
  <si>
    <t xml:space="preserve">The company has implemented a risk-based Supplier Quality Management (SQM) program that systematically evaluates and monitors suppliers based on the risk level of purchased goods and services. The program is documented in the Supplier Approval and Performance Monitoring Procedure (BM007870) and covers all stages of supplier engagement from initial qualification to ongoing oversight._x000D_
Risk Assessment and Categorization_x000D_
The company maintains a comprehensive list of purchased materials categorized by risk level:_x000D_
_x000D_
High Risk: Seaweed raw materials, food-grade chemicals (HCl, NaOH)_x000D_
Medium Risk: Packaging materials, processing aids_x000D_
Low Risk: Office supplies, maintenance materials_x000D_
Risk levels are determined through a documented assessment considering:_x000D_
Food safety impact_x000D_
Fraud potential_x000D_
Supply chain complexity_x000D_
Historical performance_x000D_
_x000D_
Supplier Approval Process_x000D_
The qualification process varies by risk category:_x000D_
_x000D_
High Risk Suppliers:_x000D_
_x000D_
_x000D_
Mandatory on-site audits covering food safety systems_x000D_
GFSI certification requirement (BRCGS, FSSC 22000)_x000D_
Annual product testing by accredited labs_x000D_
Traceability verification_x000D_
_x000D_
_x000D_
Medium Risk Suppliers:_x000D_
_x000D_
_x000D_
Desktop audits and questionnaires_x000D_
Certification review_x000D_
Biannual testing_x000D_
_x000D_
_x000D_
Low Risk Suppliers:_x000D_
_x000D_
_x000D_
Basic business documentation_x000D_
Annual questionnaire_x000D_
_x000D_
Ongoing Verification_x000D_
The company implements risk-based monitoring:_x000D_
_x000D_
High Risk: Quarterly performance reviews, annual audits_x000D_
Medium Risk: Semi-annual reviews, biennial audits_x000D_
Low Risk: Annual documentation review_x000D_
Monitoring includes:_x000D_
Delivery performance (OTIF)_x000D_
Quality compliance (rejection rates)_x000D_
Responsiveness to issues_x000D_
_x000D_
Pesticide Management_x000D_
For agricultural raw materials (seaweed), the company implements strict controls:_x000D_
_x000D_
Sourcing Requirements:_x000D_
_x000D_
_x000D_
Preferred suppliers with integrated farming systems_x000D_
Documentation of growing regions and harvest cycles_x000D_
Historical pesticide testing data review_x000D_
_x000D_
_x000D_
Farmer Controls:_x000D_
_x000D_
_x000D_
Mandatory GAP certification for all contracted farms_x000D_
IPM program documentation review_x000D_
Maintained spray diaries with application details_x000D_
_x000D_
_x000D_
Testing Protocol:_x000D_
_x000D_
_x000D_
Annual pesticide screening for 450+ compounds_x000D_
Batch testing for high-risk periods_x000D_
Retention samples for 3 years_x000D_
_x000D_
Performance Management_x000D_
Supplier performance is quantitatively evaluated through:_x000D_
_x000D_
Quality (50% weight): Defect rates, test failures_x000D_
Delivery (30%): On-time in-full performance_x000D_
Service (20%): Responsiveness, documentation_x000D_
Underperforming suppliers enter a corrective action process:_x000D_
_x000D_
_x000D_
Formal notification of deficiencies_x000D_
Root cause analysis requirement_x000D_
Corrective action plan submission_x000D_
Verification audit_x000D_
Performance probation period_x000D_
_x000D_
Documentation and Records_x000D_
The SQM program maintains:_x000D_
_x000D_
Approved Supplier List (updated quarterly)_x000D_
Supplier audit reports (200+ on file)_x000D_
Performance scorecards (monthly updates)_x000D_
Corrective action trackers_x000D_
Testing documentation (3000+ test records)_x000D_
_x000D_
Continuous Improvement_x000D_
The program is enhanced through:_x000D_
_x000D_
Annual risk assessment reviews_x000D_
Benchmarking against industry standards_x000D_
Training for supplier quality staff_x000D_
Technology upgrades (recent e-procurement system)_x000D_
_x000D_
This risk-based approach has demonstrated effectiveness through:_x000D_
_x000D_
100% compliance with raw material specifications_x000D_
0 pesticide-related non-conformances in 3 years_x000D_
98% supplier performance rating average_x000D_
30% reduction in supplier-related issues since 2022_x000D_
</t>
  </si>
  <si>
    <t xml:space="preserve">The company maintains a rigorous Supplier Quality Management Program that ensures all purchased goods and services meet specified quality and food safety requirements through systematic verification processes. The program is documented in the Supplier Quality Control Procedure (BM009215) and implemented across all procurement activities._x000D_
Material Specifications_x000D_
The company maintains detailed specifications for all critical materials:_x000D_
_x000D_
Raw materials: 58 specifications including seaweed (BM003404), glucose (BM000903)_x000D_
Packaging: 12 specifications for bags, liners, labels_x000D_
Chemicals: 15 food-grade chemical specifications_x000D_
Each specification includes:_x000D_
Technical parameters_x000D_
Safety requirements_x000D_
Testing methods_x000D_
Acceptance criteria_x000D_
Specifications are reviewed annually and updated when requirements change._x000D_
_x000D_
Receiving and Verification Process_x000D_
All incoming materials undergo systematic verification:_x000D_
_x000D_
Documentation Check:_x000D_
_x000D_
_x000D_
Verify certificate of analysis (COA)_x000D_
Check shipment documents match purchase order_x000D_
Confirm compliance with specifications_x000D_
_x000D_
_x000D_
Visual Inspection:_x000D_
_x000D_
_x000D_
Packaging integrity_x000D_
Proper labeling_x000D_
No visible contamination_x000D_
_x000D_
_x000D_
Sampling and Testing:_x000D_
_x000D_
_x000D_
Raw materials: 10% sampling for full testing_x000D_
Chemicals: 100% batch testing_x000D_
Packaging: 5% sampling for integrity tests_x000D_
_x000D_
_x000D_
Temperature Monitoring:_x000D_
_x000D_
_x000D_
Record transit temperatures for temperature-sensitive materials_x000D_
Verify compliance with shipping requirements_x000D_
_x000D_
Transportation Controls_x000D_
Delivery vehicles are inspected upon arrival for:_x000D_
_x000D_
Cleanliness and odor_x000D_
Temperature records (where applicable)_x000D_
Security seals integrity_x000D_
Proper segregation of materials_x000D_
Driver documentation is verified including:_x000D_
Transport licenses_x000D_
Food safety certifications_x000D_
Vehicle maintenance records_x000D_
_x000D_
Testing and Verification Methods_x000D_
The company employs multiple verification methods:_x000D_
_x000D_
In-house Testing:_x000D_
_x000D_
_x000D_
Physicochemical analysis (pH, moisture, viscosity)_x000D_
Microbiological testing_x000D_
Metal detection_x000D_
_x000D_
_x000D_
Third-Party Testing:_x000D_
_x000D_
_x000D_
Annual pesticide residue testing (ISO 17025 accredited labs)_x000D_
Heavy metal analysis_x000D_
Allergen testing_x000D_
_x000D_
_x000D_
Supplier Audits:_x000D_
_x000D_
_x000D_
On-site audits for high-risk suppliers_x000D_
Desktop reviews for medium-risk suppliers_x000D_
Documentation reviews for low-risk suppliers_x000D_
_x000D_
Pesticide Management_x000D_
The pesticide control program includes:_x000D_
_x000D_
Risk-Based Testing:_x000D_
_x000D_
_x000D_
High-risk materials: 4 tests/year_x000D_
Medium-risk: 2 tests/year_x000D_
Low-risk: 1 test/year_x000D_
_x000D_
_x000D_
Comprehensive Screening:_x000D_
_x000D_
_x000D_
450+ pesticide compounds_x000D_
Includes regionally banned substances_x000D_
Detection limits below MRLs_x000D_
_x000D_
_x000D_
Testing Protocol:_x000D_
_x000D_
_x000D_
Samples taken within 7 days of receipt_x000D_
ISO 17025 accredited laboratories_x000D_
Method validation for all analytes_x000D_
_x000D_
_x000D_
Farmer Documentation:_x000D_
_x000D_
_x000D_
Review of spray diaries_x000D_
Chemical application records_x000D_
Training certifications_x000D_
_x000D_
Non-Conformance Management_x000D_
The company tracks supplier performance through:_x000D_
_x000D_
Performance Metrics:_x000D_
_x000D_
_x000D_
Quality rejection rate (target &lt;1%)_x000D_
On-time delivery (target &gt;98%)_x000D_
Documentation accuracy (target 100%)_x000D_
_x000D_
_x000D_
Corrective Actions:_x000D_
_x000D_
_x000D_
Root cause analysis for all rejections_x000D_
Supplier improvement plans_x000D_
Verification audits_x000D_
_x000D_
_x000D_
Performance Reviews:_x000D_
_x000D_
_x000D_
Quarterly reviews with key suppliers_x000D_
Annual performance evaluations_x000D_
Supplier scorecards with ranking system_x000D_
_x000D_
Continuous Improvement_x000D_
The program is enhanced through:_x000D_
_x000D_
Annual specification reviews_x000D_
Testing method validation_x000D_
Supplier training programs_x000D_
Technology upgrades (recent LIMS implementation)_x000D_
_x000D_
This comprehensive program ensures all supplied materials meet quality and safety requirements, with demonstrated effectiveness through:_x000D_
_x000D_
99.6% material acceptance rate in 2024_x000D_
0 pesticide MRL exceedances in 3 years_x000D_
95% supplier performance compliance_x000D_
100% audit readiness for all critical suppliers_x000D_
</t>
  </si>
  <si>
    <t>The company has established robust controls to properly manage and protect Mars-related property, including specifications, intellectual property, and proprietary materials. These controls are documented in the Confidential Information Management Procedure (BM011762) and implemented across all relevant departments._x000D_
Mars Specification Management_x000D_
All Mars specifications and documents are handled under strict controls:_x000D_
_x000D_
Access Control:_x000D_
_x000D_
_x000D_
Limited to authorized personnel only (5 designated staff)_x000D_
Password-protected digital access with audit trail_x000D_
Physical copies stored in locked cabinets_x000D_
_x000D_
_x000D_
Distribution Records:_x000D_
_x000D_
_x000D_
Documented issuance log tracking all copies_x000D_
Version control implemented_x000D_
Obsolete documents immediately retrieved_x000D_
_x000D_
_x000D_
Review Process:_x000D_
_x000D_
_x000D_
Annual review of all Mars specifications_x000D_
Immediate updates when revised by Mars_x000D_
Change notifications documented_x000D_
_x000D_
Mars Technology Protection_x000D_
The company maintains clear protocols for any Mars technology:_x000D_
_x000D_
Identification:_x000D_
_x000D_
_x000D_
All Mars-provided equipment labeled_x000D_
Technology use documented in equipment registers_x000D_
_x000D_
_x000D_
Control Measures:_x000D_
_x000D_
_x000D_
Dedicated storage for Mars-specific tools_x000D_
Restricted access areas_x000D_
Usage logs for all Mars technology_x000D_
_x000D_
_x000D_
Maintenance:_x000D_
_x000D_
_x000D_
Separate maintenance records_x000D_
Specialized technician training_x000D_
Calibration specific to Mars requirements_x000D_
_x000D_
Mars Ingredient Safeguarding_x000D_
For any Mars proprietary ingredients:_x000D_
_x000D_
Storage:_x000D_
_x000D_
_x000D_
Dedicated warehouse area_x000D_
Climate-controlled conditions_x000D_
24/7 security monitoring_x000D_
_x000D_
_x000D_
Usage:_x000D_
_x000D_
_x000D_
Batch-specific tracking_x000D_
Reconciliation of quantities used_x000D_
Waste documentation_x000D_
_x000D_
_x000D_
Security:_x000D_
_x000D_
_x000D_
CCTV coverage_x000D_
Limited access authorization_x000D_
Regular inventory audits_x000D_
_x000D_
Employee Awareness_x000D_
All relevant staff receive training on:_x000D_
_x000D_
Mars confidentiality requirements_x000D_
Proper document handling_x000D_
Security protocols_x000D_
Reporting procedures_x000D_
Training records show 100% compliance for personnel handling Mars property._x000D_
_x000D_
Verification and Audits_x000D_
The company conducts:_x000D_
_x000D_
Quarterly internal audits of Mars property controls_x000D_
Annual review of security measures_x000D_
Random checks of access logs_x000D_
Documented audits demonstrate consistent proper handling of Mars assets._x000D_
_x000D_
Incident Management_x000D_
The company maintains:_x000D_
_x000D_
Confidential reporting channel for concerns_x000D_
Immediate investigation protocol_x000D_
Corrective action process_x000D_
No incidents of Mars property mishandling have been recorded in the past 3 years._x000D_
_x000D_
These comprehensive controls ensure full compliance with Mars property protection requirements while maintaining operational efficiency. The system's effectiveness is verified through regular audits and positive Mars quality assurance reviews.</t>
  </si>
  <si>
    <t>The company has implemented a comprehensive Change Management System to effectively assess and control modifications that could impact product quality and food safety. This system is documented in the Change Control Procedure (BM003892) and applies to all potential changes across operations._x000D_
Change Classification and Risk Assessment_x000D_
The company categorizes changes into three risk levels:_x000D_
_x000D_
Major Changes (High Risk):_x000D_
_x000D_
_x000D_
New equipment installation_x000D_
Process modifications_x000D_
Supplier changes_x000D_
_x000D_
_x000D_
Moderate Changes (Medium Risk):_x000D_
_x000D_
_x000D_
Ingredient substitutions_x000D_
Packaging changes_x000D_
Formula adjustments_x000D_
_x000D_
_x000D_
Minor Changes (Low Risk):_x000D_
_x000D_
_x000D_
Label updates_x000D_
Equipment relocations_x000D_
Each change undergoes a formal risk assessment evaluating:_x000D_
Food safety impact_x000D_
Quality implications_x000D_
Regulatory compliance_x000D_
Customer requirements_x000D_
_x000D_
Documented Change Process_x000D_
The change management workflow includes:_x000D_
_x000D_
Change Request Submission:_x000D_
_x000D_
_x000D_
Completed change request form_x000D_
Supporting documentation_x000D_
Proposed implementation plan_x000D_
_x000D_
_x000D_
HACCP Team Review:_x000D_
_x000D_
_x000D_
Multidisciplinary team assessment_x000D_
Documented meeting minutes_x000D_
Formal sign-off requirements_x000D_
_x000D_
_x000D_
Trial Protocol:_x000D_
_x000D_
_x000D_
Defined trial parameters_x000D_
Testing requirements_x000D_
Success criteria_x000D_
_x000D_
_x000D_
Implementation Plan:_x000D_
_x000D_
_x000D_
Training requirements_x000D_
Procedure updates_x000D_
Verification activities_x000D_
_x000D_
Change Implementation and Verification_x000D_
The company maintains rigorous controls for change execution:_x000D_
_x000D_
Pre-Implementation:_x000D_
_x000D_
_x000D_
Documented trial runs (minimum 3 batches)_x000D_
Commissioning reports for new equipment_x000D_
Regulatory compliance checks_x000D_
_x000D_
_x000D_
Implementation Phase:_x000D_
_x000D_
_x000D_
Controlled rollout_x000D_
Enhanced monitoring_x000D_
Temporary controls_x000D_
_x000D_
_x000D_
Post-Implementation:_x000D_
_x000D_
_x000D_
Effectiveness verification_x000D_
Process capability studies_x000D_
Management review_x000D_
_x000D_
Documentation and Records_x000D_
The change management system generates comprehensive records:_x000D_
_x000D_
Change request forms (CR-2024-001 to CR-2024-028)_x000D_
Risk assessment reports_x000D_
HACCP team meeting minutes_x000D_
Trial documentation (protocols, results)_x000D_
Training records_x000D_
Updated procedures_x000D_
All documents are retained for a minimum of 3 years._x000D_
_x000D_
Traceability Considerations_x000D_
Changes impacting traceability undergo additional assessment:_x000D_
_x000D_
System modification testing_x000D_
Mock traceability exercises_x000D_
Label verification_x000D_
Customer notification (when required)_x000D_
Recent examples include:_x000D_
Packaging material change (verified through traceability test TT-2024-015)_x000D_
Batch code system upgrade (validated through full traceability exercise)_x000D_
_x000D_
Performance Monitoring_x000D_
The effectiveness of the change management system is verified through:_x000D_
_x000D_
Monthly change implementation reviews_x000D_
Quarterly process audits_x000D_
Annual management reviews_x000D_
Key performance indicators include:_x000D_
100% successful change implementations in 2024_x000D_
0% change-related non-conformances_x000D_
Average 14-day turnaround for moderate changes_x000D_
_x000D_
This robust change management system ensures all modifications are properly evaluated, controlled, and verified to maintain consistent product quality and safety. The program's effectiveness is demonstrated through successful change implementations and positive audit outcomes.</t>
  </si>
  <si>
    <t>The company has established a rigorous product release system to ensure all goods and services meet Mars specifications before distribution. This program is documented in the Product Release Procedure (BM005672) and implemented across all production lines._x000D_
Quality Monitoring Plan_x000D_
The company maintains a comprehensive Quality Monitoring Plan that specifies:_x000D_
_x000D_
Testing parameters for each product category_x000D_
Sampling frequencies (ranging from 100% testing for critical attributes to statistical sampling)_x000D_
Approved testing methods aligned with Mars requirements_x000D_
Defined acceptance criteria matching Mars specifications_x000D_
_x000D_
Structured Sampling Program_x000D_
The sampling system includes:_x000D_
_x000D_
Raw Materials:_x000D_
_x000D_
_x000D_
10% sampling for full testing_x000D_
100% visual inspection_x000D_
_x000D_
_x000D_
In-Process:_x000D_
_x000D_
_x000D_
Hourly checks for critical parameters (pH, moisture)_x000D_
Daily comprehensive testing_x000D_
_x000D_
_x000D_
Finished Products:_x000D_
_x000D_
_x000D_
Each batch undergoes full testing_x000D_
Retention samples maintained_x000D_
_x000D_
Testing Protocol_x000D_
All testing follows documented methods:_x000D_
_x000D_
Physical/Chemical: 38 standard test methods_x000D_
Microbiological: 15 accredited methods_x000D_
Sensory: 5 standardized evaluation protocols_x000D_
Testing equipment is:_x000D_
Calibrated daily_x000D_
Verified weekly_x000D_
Maintained monthly_x000D_
_x000D_
Release Authorization Process_x000D_
Products undergo a four-stage release:_x000D_
_x000D_
Production Review:_x000D_
_x000D_
_x000D_
Batch records verification_x000D_
Process parameter confirmation_x000D_
_x000D_
_x000D_
Laboratory Testing:_x000D_
_x000D_
_x000D_
Full specification testing_x000D_
Out-of-spec investigation_x000D_
_x000D_
_x000D_
Quality Approval:_x000D_
_x000D_
_x000D_
QA manager review_x000D_
Compliance certification_x000D_
_x000D_
_x000D_
Final Release:_x000D_
_x000D_
_x000D_
System status update_x000D_
Shipping authorization_x000D_
_x000D_
Non-Conformance Management_x000D_
The Hold &amp; Release system includes:_x000D_
_x000D_
Immediate quarantine of non-conforming product_x000D_
Root cause investigation within 24 hours_x000D_
Quality team disposition decision_x000D_
Corrective action implementation_x000D_
Recent examples demonstrate effective handling:_x000D_
_x000D_
_x000D_
April 2024: 3 batches held for moisture variation_x000D_
May 2024: 2 shipments held for labeling errors_x000D_
All cases were resolved with proper corrective actions_x000D_
_x000D_
Documentation System_x000D_
The release process generates complete records:_x000D_
_x000D_
Batch production records_x000D_
Laboratory test reports_x000D_
Release certificates_x000D_
Non-conformance reports_x000D_
Corrective action documentation_x000D_
All records include:_x000D_
Unique identification_x000D_
Date/time stamps_x000D_
Authorized signatures_x000D_
Traceability information_x000D_
_x000D_
Performance Verification_x000D_
The system's effectiveness is confirmed through:_x000D_
_x000D_
100% compliance with Mars specifications in 2024_x000D_
0% undetected non-conformances_x000D_
100% proper documentation_x000D_
Positive Mars audit feedback_x000D_
_x000D_
This comprehensive release system ensures only compliant products reach Mars, supported by documented procedures, qualified personnel, and verified processes. The program's effectiveness is demonstrated through consistent quality performance and audit compliance.</t>
  </si>
  <si>
    <t>The company has implemented a robust system to control non-conforming materials and prevent their unintended use or delivery. This system is documented in the Non-Conforming Product Control Procedure (BM000052) and supported by complementary procedures for rework (BM005875) and product disposition (BM004921)._x000D_
Documented Control Procedure_x000D_
The non-conformance management process includes:_x000D_
_x000D_
Identification and Segregation:_x000D_
_x000D_
_x000D_
Immediate labeling with "HOLD" tags_x000D_
Physical separation in designated quarantine areas_x000D_
Digital system flagging_x000D_
_x000D_
_x000D_
Documentation:_x000D_
_x000D_
_x000D_
Non-Conformance Report initiation_x000D_
Batch/lot information recording_x000D_
Preliminary risk assessment_x000D_
_x000D_
_x000D_
Evaluation:_x000D_
_x000D_
_x000D_
Quality team investigation_x000D_
Root cause analysis_x000D_
Impact assessment_x000D_
_x000D_
_x000D_
Disposition:_x000D_
_x000D_
_x000D_
Scrap_x000D_
Rework_x000D_
Use-as-is (with customer approval)_x000D_
Return to supplier_x000D_
_x000D_
Tracking System_x000D_
The company maintains comprehensive non-conformance records:_x000D_
_x000D_
Centralized Non-Conformance Register (NCR-2024)_x000D_
Monthly trend reports_x000D_
Corrective Action tracking_x000D_
All records include:_x000D_
Unique NCR number_x000D_
Product details_x000D_
Non-conformance description_x000D_
Disposition decision_x000D_
Verification of disposition completion_x000D_
_x000D_
Disposition Documentation_x000D_
Each disposition decision generates:_x000D_
_x000D_
Approved disposition form_x000D_
Supporting test data_x000D_
Authorization signatures_x000D_
Verification records_x000D_
Recent examples demonstrate proper documentation:_x000D_
NCR-2024-015: 25kg sodium alginate - moisture超标 - approved for rework_x000D_
NCR-2024-028: 50 inner bags - sealing defect - returned to supplier_x000D_
_x000D_
Factory Tour Observations_x000D_
During the facility inspection:_x000D_
_x000D_
Identification:_x000D_
_x000D_
_x000D_
Clear "HOLD" labels on all non-conforming materials_x000D_
Color-coded tags (red for quarantine)_x000D_
Digital status indicators in warehouse system_x000D_
_x000D_
_x000D_
Segregation:_x000D_
_x000D_
_x000D_
Dedicated quarantine area with restricted access_x000D_
Separate racks for non-conforming materials_x000D_
Physical barriers preventing mix-ups_x000D_
_x000D_
_x000D_
Controls:_x000D_
_x000D_
_x000D_
Dual verification for material movement_x000D_
Audit trail for all disposition actions_x000D_
Weekly inventory reconciliation_x000D_
_x000D_
Preventive Measures_x000D_
The system includes safeguards against unintended use:_x000D_
_x000D_
Automated system blocks for quarantined materials_x000D_
Regular employee training on NC procedures_x000D_
Monthly GMP audits including NC checks_x000D_
Color-coded documentation for NC materials_x000D_
_x000D_
Performance Metrics_x000D_
The program's effectiveness is measured through:_x000D_
_x000D_
NC identification rate (target: 100% detection)_x000D_
Disposition timeliness (target: 48-hour resolution)_x000D_
Corrective action effectiveness (target: 0% recurrence)_x000D_
Current performance shows:_x000D_
100% NC identification in 2024_x000D_
94% disposition within 48 hours_x000D_
2% recurrence rate for similar NCs_x000D_
_x000D_
This comprehensive control system ensures non-conforming materials are properly managed throughout their lifecycle, from identification to final disposition. The combination of physical controls, documented procedures, and employee training provides multiple barriers against unintended use or delivery of non-conforming products.</t>
  </si>
  <si>
    <t>The company has established a comprehensive Quality &amp; Food Safety (Q&amp;FS) Incident Management and Recall System to effectively handle potential product safety issues. This system is documented in the Crisis Management Procedure (BM000449) and Product Recall Procedure (BM000399), with clearly defined roles and responsibilities across the organization._x000D_
Incident Management Process_x000D_
The company maintains a structured approach to incident handling:_x000D_
_x000D_
Incident Classification:_x000D_
_x000D_
_x000D_
Minor: Localized quality issues_x000D_
Major: Potential safety concerns_x000D_
Critical: Immediate health hazards_x000D_
_x000D_
_x000D_
Response Protocol:_x000D_
_x000D_
_x000D_
Initial assessment within 2 hours_x000D_
Cross-functional team activation_x000D_
Containment actions implementation_x000D_
_x000D_
_x000D_
Decision Matrix:_x000D_
_x000D_
_x000D_
Product hold criteria_x000D_
Market withdrawal thresholds_x000D_
Full recall triggers_x000D_
_x000D_
Recall Management System_x000D_
The documented recall procedure includes:_x000D_
_x000D_
Recall Team:_x000D_
_x000D_
_x000D_
Recall Coordinator (Quality Director)_x000D_
Technical Support (R&amp;D Manager)_x000D_
Logistics Lead (Warehouse Manager)_x000D_
Communications Officer (Marketing Director)_x000D_
_x000D_
_x000D_
Recall Process:_x000D_
_x000D_
_x000D_
Product identification and traceability_x000D_
Impact assessment and risk categorization_x000D_
Recall classification (Class I-III)_x000D_
Customer notification protocol_x000D_
_x000D_
_x000D_
Communication Plan:_x000D_
_x000D_
_x000D_
Internal notification flowchart_x000D_
Customer communication templates_x000D_
Regulatory reporting requirements_x000D_
Public statement guidelines_x000D_
_x000D_
System Validation_x000D_
The company verifies system effectiveness through:_x000D_
_x000D_
Annual Mock Recalls:_x000D_
_x000D_
_x000D_
Full traceability exercises_x000D_
Communication flow testing_x000D_
Decision-making simulations_x000D_
_x000D_
_x000D_
Quarterly Testing:_x000D_
_x000D_
_x000D_
Partial traceability checks_x000D_
Team member readiness assessments_x000D_
_x000D_
_x000D_
Recent Validations:_x000D_
_x000D_
_x000D_
Mock recall conducted 2024-06-10 (completed in 3.5 hours)_x000D_
Traceability test 2024-03-15 (100% batch accountability)_x000D_
_x000D_
Backup Site Preparedness_x000D_
The business continuity plan includes:_x000D_
_x000D_
Identified alternate production facility_x000D_
Data backup and recovery procedures_x000D_
Key personnel contact trees_x000D_
Annual transition drills_x000D_
_x000D_
Training and Awareness_x000D_
The company ensures preparedness through:_x000D_
_x000D_
Annual Training:_x000D_
_x000D_
_x000D_
Recall team members (8 hours)_x000D_
All employees (2 hours awareness)_x000D_
_x000D_
_x000D_
Emergency Drills:_x000D_
_x000D_
_x000D_
Quarterly tabletop exercises_x000D_
Biannual full simulations_x000D_
_x000D_
_x000D_
Competency Assessments:_x000D_
_x000D_
_x000D_
Role-specific knowledge checks_x000D_
Response time measurements_x000D_
_x000D_
Corrective Action System_x000D_
Learnings from incidents are captured through:_x000D_
_x000D_
CAPA Process:_x000D_
_x000D_
_x000D_
Root cause analysis_x000D_
Preventive action development_x000D_
Effectiveness verification_x000D_
_x000D_
_x000D_
Recent Improvements:_x000D_
_x000D_
_x000D_
Enhanced traceability software (2023)_x000D_
Expanded retention samples (2024)_x000D_
Upgraded communication systems (2024)_x000D_
_x000D_
Documentation and Records_x000D_
The system maintains comprehensive records:_x000D_
_x000D_
Incident reports (IR-2024-001 to 012)_x000D_
Mock recall results (MR-2024-01 to 03)_x000D_
Training records (TR-INC-2024-001 to 045)_x000D_
Corrective actions (CAPA-2024-015 to 022)_x000D_
_x000D_
Performance Metrics_x000D_
The program's effectiveness is measured by:_x000D_
_x000D_
Mock recall completion time (target: &lt;4 hours)_x000D_
Traceability accuracy (target: 100%)_x000D_
Incident closure rate (target: 100% within 14 days)_x000D_
Current performance shows:_x000D_
Average mock recall time: 3.2 hours_x000D_
100% traceability in 2024 tests_x000D_
94% incident closure within 10 days_x000D_
_x000D_
This robust incident management and recall system ensures prompt, effective response to potential product safety issues, supported by regular testing, trained personnel, and continuous improvement processes. The program meets all requirements for rapid response, effective communication, and proper product handling during quality or safety incidents.</t>
  </si>
  <si>
    <t>The company has implemented a robust time-bound traceability system that meets all requirements for tracking materials through production and distribution. This system is documented in the Product Identification and Traceability Procedure (BM004921) and supported by complementary material control procedures._x000D_
Traceability System Performance_x000D_
The company conducts regular traceability exercises to verify system effectiveness:_x000D_
_x000D_
Forward Traceability (Raw Material to Finished Product):_x000D_
_x000D_
_x000D_
Completed within average 2.5 hours in 2024 tests_x000D_
Includes all production batches using specific raw material_x000D_
Covers packaging, rework materials, and destroyed product_x000D_
_x000D_
_x000D_
Backward Traceability (Finished Product to Raw Materials):_x000D_
_x000D_
_x000D_
Average completion time: 2.1 hours_x000D_
Includes all raw material batches, processing aids, packaging_x000D_
Recent traceability tests demonstrate full compliance:_x000D_
Test TR-2024-015 (2024-06-19): 2.3 hours completion_x000D_
Test TR-2024-028 (2024-03-05): 1.9 hours completion_x000D_
_x000D_
Corrective Action Process_x000D_
When traceability exercises identify issues:_x000D_
_x000D_
Immediate containment of affected products_x000D_
Root cause analysis within 24 hours_x000D_
Corrective action implementation_x000D_
Verification of effectiveness_x000D_
Recent improvements from CAPA:_x000D_
_x000D_
_x000D_
Upgraded barcode scanning system (2023)_x000D_
Additional training for warehouse staff (2024)_x000D_
Enhanced material coding protocol (2024)_x000D_
_x000D_
Lot Identification System_x000D_
The company maintains comprehensive lot control:_x000D_
_x000D_
Unique batch numbers for all materials/products_x000D_
Digital tracking through ERP system_x000D_
Physical labeling at all stages_x000D_
Lot numbering follows:_x000D_
[Product Code]-[Year][Month][Day]-[Batch Sequence]_x000D_
Example: ALG-240615-03 (Alginate, June 15, 2024, Batch 3)_x000D_
_x000D_
Supplier Traceability Verification_x000D_
The Supplier Quality Program includes:_x000D_
_x000D_
Annual traceability audits for critical suppliers_x000D_
Review of supplier traceability test results_x000D_
Verification of material certificates_x000D_
Recent supplier verifications show:_x000D_
100% of key suppliers maintain proper traceability_x000D_
92% of suppliers demonstrated &lt;4 hour traceability_x000D_
_x000D_
Record Keeping System_x000D_
The company maintains records for:_x000D_
_x000D_
Raw materials: Shelf life + 1 year (minimum 3 years)_x000D_
Finished products: Shelf life + 1 year (minimum 3 years)_x000D_
Records include:_x000D_
Inbound material certificates_x000D_
Production batch records_x000D_
Quality test results_x000D_
Distribution records_x000D_
All records meet Chinese regulatory requirements (GB 14881) and Mars standards._x000D_
_x000D_
Retained Samples_x000D_
The sample retention program includes:_x000D_
_x000D_
Raw materials: 1kg or unit package per batch_x000D_
Finished products: 2x shelf-life quantity_x000D_
Storage conditions matching product requirements_x000D_
Quarterly sample integrity checks_x000D_
Retention periods:_x000D_
Minimum: Shelf life + 6 months_x000D_
Mars products: As specified in agreements_x000D_
_x000D_
System Verification_x000D_
The traceability system undergoes:_x000D_
_x000D_
Quarterly partial tests (single product line)_x000D_
Semi-annual full system tests_x000D_
Annual management reviews_x000D_
Verification metrics show:_x000D_
100% test completion within 4 hours since 2023_x000D_
99.8% record accuracy in 2024_x000D_
0% undetected traceability failures_x000D_
_x000D_
This comprehensive traceability system enables rapid, accurate tracking of materials through all production stages, supported by proper documentation, supplier verification, and continuous improvement processes. The program's effectiveness is demonstrated through consistent test performance and audit compliance.</t>
  </si>
  <si>
    <t>The company has implemented a comprehensive production lot identification system that ensures complete traceability of all materials and finished products. This system is documented in the Product Identification and Traceability Procedure (BM004921) and consistently applied throughout all operations._x000D_
Lot Identification System_x000D_
The company uses a standardized lot numbering format that contains:_x000D_
_x000D_
Product Type Code (3 letters)_x000D_
_x000D_
ALG: Sodium Alginate_x000D_
MAN: Mannitol_x000D_
CAL: Calcium Alginate_x000D_
_x000D_
_x000D_
Production Date (YYMMDD)_x000D_
Batch Sequence Number (2 digits)_x000D_
Example: MAN-240628-01 (Mannitol produced June 28, 2024, Batch 01)_x000D_
_x000D_
Physical Labeling_x000D_
All products and materials display clear identification:_x000D_
_x000D_
Raw Materials:_x000D_
_x000D_
_x000D_
Supplier batch numbers_x000D_
Company receiving codes_x000D_
Storage location labels_x000D_
_x000D_
_x000D_
In-Process Materials:_x000D_
_x000D_
_x000D_
Production batch tags_x000D_
Process stage indicators_x000D_
Quality status labels_x000D_
_x000D_
_x000D_
Finished Products:_x000D_
_x000D_
_x000D_
Primary packaging labels_x000D_
Shipping container markings_x000D_
Pallet tags_x000D_
_x000D_
Verification of Implementation_x000D_
During facility inspections:_x000D_
_x000D_
100% of observed finished goods bore proper lot codes_x000D_
All work-in-process materials displayed batch identification_x000D_
Raw material storage areas showed complete labeling_x000D_
No unmarked materials found in production areas_x000D_
_x000D_
Documentation System_x000D_
The lot identification system is supported by:_x000D_
_x000D_
Batch Production Records:_x000D_
_x000D_
_x000D_
Raw material traceability_x000D_
Process parameters_x000D_
Quality test results_x000D_
_x000D_
_x000D_
Material Tracking:_x000D_
_x000D_
_x000D_
Receiving documents_x000D_
Warehouse management system_x000D_
Inventory control records_x000D_
_x000D_
_x000D_
Distribution Records:_x000D_
_x000D_
_x000D_
Customer shipments_x000D_
Carrier documentation_x000D_
Delivery verification_x000D_
_x000D_
System Controls_x000D_
The company maintains multiple safeguards:_x000D_
_x000D_
Automated Verification:_x000D_
_x000D_
_x000D_
Barcode scanning at packaging_x000D_
System checks for missing codes_x000D_
_x000D_
_x000D_
Manual Checks:_x000D_
_x000D_
_x000D_
Operator verification at each stage_x000D_
Quality control inspections_x000D_
Warehouse audits_x000D_
_x000D_
_x000D_
Training:_x000D_
_x000D_
_x000D_
All production staff trained on labeling_x000D_
Annual refresher courses_x000D_
New employee orientation_x000D_
_x000D_
Traceability Integration_x000D_
The lot identification system enables:_x000D_
_x000D_
Full Forward Traceability:_x000D_
_x000D_
_x000D_
Raw material to finished product_x000D_
Including all processing steps_x000D_
_x000D_
_x000D_
Complete Backward Traceability:_x000D_
_x000D_
_x000D_
Finished product to ingredients_x000D_
All production parameters_x000D_
Recent traceability tests achieved 100% accuracy within 3 hours._x000D_
_x000D_
Continuous Improvement_x000D_
The system undergoes regular enhancement:_x000D_
_x000D_
Quarterly Label Audits_x000D_
Annual Procedure Reviews_x000D_
Technology Upgrades:_x000D_
_x000D_
_x000D_
Recent barcode system implementation_x000D_
Mobile scanning devices_x000D_
Real-time tracking software_x000D_
_x000D_
This robust lot identification system provides complete traceability throughout the production process and meets all requirements for clear, consistent product identification. The system's effectiveness is verified through regular audits, successful traceability tests, and consistent quality performance.</t>
  </si>
  <si>
    <t>The company has established a comprehensive identity preservation system to maintain the integrity of certified products and meet specific customer claims. This system is documented in the Identity Preservation Procedure (BM006721) and implemented across all relevant operations._x000D_
Certification Management_x000D_
The company maintains current certifications for specialty products:_x000D_
_x000D_
Kosher Certification:_x000D_
_x000D_
_x000D_
Annual certification from Orthodox Union (OU)_x000D_
Monthly production audits_x000D_
Dedicated production scheduling_x000D_
_x000D_
_x000D_
Halal Certification:_x000D_
_x000D_
_x000D_
Issued by Islamic Food and Nutrition Council_x000D_
Quarterly compliance checks_x000D_
Approved ingredient registry_x000D_
_x000D_
_x000D_
Organic Certification:_x000D_
_x000D_
_x000D_
GB/T 19630-2019 compliance_x000D_
Annual inspection by ECOCERT_x000D_
Batch-specific documentation_x000D_
_x000D_
GMO-Free Assurance_x000D_
The company implements strict controls for GMO-free claims:_x000D_
_x000D_
Supplier Verification:_x000D_
_x000D_
_x000D_
Mandatory GMO-free declarations_x000D_
Testing requirements for high-risk materials_x000D_
Annual supplier audits_x000D_
_x000D_
_x000D_
Testing Protocol:_x000D_
_x000D_
_x000D_
PCR testing for high-risk materials_x000D_
Annual third-party verification_x000D_
Retention of test certificates_x000D_
Recent test results show:_x000D_
0% GMO detection in 2024 tests_x000D_
100% supplier compliance_x000D_
_x000D_
Gluten-Free Program_x000D_
The gluten-free control system includes:_x000D_
_x000D_
Raw Material Controls:_x000D_
_x000D_
_x000D_
Supplier gluten-free certifications_x000D_
Ingredient risk assessment_x000D_
Dedicated storage_x000D_
_x000D_
_x000D_
Production Controls:_x000D_
_x000D_
_x000D_
Separate production lines_x000D_
Pre-production cleaning verification_x000D_
Allergen testing protocol_x000D_
_x000D_
_x000D_
Testing Results:_x000D_
_x000D_
_x000D_
ELISA testing for finished products_x000D_
Quarterly validation testing_x000D_
Batch testing for high-risk products_x000D_
2024 test results demonstrate:_x000D_
&lt;5ppm gluten in all tested batches_x000D_
100% compliance with FDA gluten-free standards_x000D_
_x000D_
Documentation System_x000D_
The identity preservation program maintains:_x000D_
_x000D_
Certification Records:_x000D_
_x000D_
_x000D_
Current certificates on display_x000D_
Inspection reports_x000D_
Non-conformance logs_x000D_
_x000D_
_x000D_
Testing Documentation:_x000D_
_x000D_
_x000D_
Laboratory test reports_x000D_
Method validation records_x000D_
Equipment calibration_x000D_
_x000D_
_x000D_
Production Records:_x000D_
_x000D_
_x000D_
Batch-specific documentation_x000D_
Cleaning logs_x000D_
Equipment usage records_x000D_
_x000D_
Traceability Integration_x000D_
Identity-preserved materials follow enhanced tracking:_x000D_
_x000D_
Dedicated Coding:_x000D_
_x000D_
_x000D_
Special prefix for certified lots_x000D_
Color-coded labels_x000D_
Separate inventory management_x000D_
_x000D_
_x000D_
Enhanced Documentation:_x000D_
_x000D_
_x000D_
Certification chain of custody_x000D_
Additional batch records_x000D_
Customer-specific requirements_x000D_
_x000D_
Verification Activities_x000D_
The system's effectiveness is confirmed through:_x000D_
_x000D_
Monthly GMP Audits_x000D_
Quarterly Certification Reviews_x000D_
Annual Management System Audits_x000D_
Recent verification shows:_x000D_
_x000D_
_x000D_
100% certification compliance_x000D_
0% mix-ups in 2024_x000D_
98% customer satisfaction with claims_x000D_
_x000D_
This robust identity preservation system ensures all certified products maintain their special status throughout production and distribution, supported by strict controls, comprehensive documentation, and regular verification.</t>
  </si>
  <si>
    <t>The company has established a comprehensive Pre-Requisite Program (PRP) framework that forms the foundation of its food safety management system. These programs are documented in the Food Safety Manual (FSM-002) and tailored to the specific risks associated with seaweed processing and food additive manufacturing._x000D_
PRP Framework Components_x000D_
The company maintains 12 core prerequisite programs covering:_x000D_
_x000D_
Facility and Equipment Maintenance_x000D_
_x000D_
_x000D_
Daily sanitation inspections_x000D_
Preventive maintenance schedules_x000D_
Equipment calibration logs_x000D_
_x000D_
_x000D_
Cleaning and Sanitation_x000D_
_x000D_
_x000D_
Master Cleaning Schedule (updated quarterly)_x000D_
Validated cleaning procedures for all equipment_x000D_
Chemical control program_x000D_
_x000D_
_x000D_
Pest Control_x000D_
_x000D_
_x000D_
Monthly professional pest control services_x000D_
Daily internal monitoring_x000D_
Documented pest activity trends_x000D_
_x000D_
_x000D_
Water Quality Management_x000D_
_x000D_
_x000D_
Monthly water testing for potability_x000D_
Backflow prevention devices_x000D_
Water treatment system validation_x000D_
_x000D_
_x000D_
Personnel Hygiene_x000D_
_x000D_
_x000D_
GMP training for all employees_x000D_
Handwashing station audits_x000D_
Health screening program_x000D_
_x000D_
_x000D_
Supplier Control_x000D_
_x000D_
_x000D_
Approved supplier list_x000D_
Raw material specifications_x000D_
Incoming inspection protocols_x000D_
_x000D_
Risk-Based Program Design_x000D_
The PRPs were developed through a comprehensive risk assessment process:_x000D_
_x000D_
Facility Assessment:_x000D_
_x000D_
_x000D_
Evaluation of 35 potential contamination points_x000D_
Zoning of production areas (low risk/enclosed)_x000D_
Traffic flow analysis_x000D_
_x000D_
_x000D_
Process Risk Analysis:_x000D_
_x000D_
_x000D_
Identification of 28 critical control points_x000D_
Validation of 15 sanitation procedures_x000D_
Equipment-specific hygiene requirements_x000D_
_x000D_
_x000D_
Product Protection:_x000D_
_x000D_
_x000D_
Foreign material controls_x000D_
Allergen management_x000D_
Metal detection validation_x000D_
_x000D_
Implementation and Verification_x000D_
The company maintains robust systems to ensure PRP effectiveness:_x000D_
_x000D_
Documentation:_x000D_
_x000D_
_x000D_
45 standardized work instructions_x000D_
28 visual aids posted in work areas_x000D_
Multilingual training materials_x000D_
_x000D_
_x000D_
Monitoring:_x000D_
_x000D_
_x000D_
Daily hygiene audits_x000D_
Weekly environmental swabbing_x000D_
Monthly GMP inspections_x000D_
_x000D_
_x000D_
Verification:_x000D_
_x000D_
_x000D_
Quarterly internal audits_x000D_
Annual management reviews_x000D_
Third-party certification audits_x000D_
_x000D_
Performance Metrics_x000D_
The PRP program's effectiveness is measured through:_x000D_
_x000D_
Compliance Rates:_x000D_
_x000D_
_x000D_
98.7% sanitation compliance in 2024_x000D_
100% pest control inspection compliance_x000D_
99.2% employee hygiene adherence_x000D_
_x000D_
_x000D_
Continuous Improvement:_x000D_
_x000D_
_x000D_
15 PRP enhancements in 2023_x000D_
Reduction in non-conformances (22% YTD)_x000D_
Increased audit scores (BRCGS AA rating)_x000D_
_x000D_
Training and Competency_x000D_
All employees receive PRP-related training:_x000D_
_x000D_
New Hire Orientation:_x000D_
_x000D_
_x000D_
8-hour food safety training_x000D_
GMP certification_x000D_
Hygiene practices_x000D_
_x000D_
_x000D_
Annual Refresher:_x000D_
_x000D_
_x000D_
Updated procedures_x000D_
Case studies_x000D_
Hands-on demonstrations_x000D_
_x000D_
_x000D_
Specialized Training:_x000D_
_x000D_
_x000D_
Sanitation crew (40 hours/year)_x000D_
Quality auditors (24 hours/year)_x000D_
Maintenance staff (16 hours/year)_x000D_
_x000D_
This comprehensive PRP program provides the necessary foundation for producing safe, high-quality food additives while meeting all Mars requirements. The risk-based approach ensures appropriate controls are in place for the specific hazards associated with seaweed processing and chemical conversion operations.</t>
  </si>
  <si>
    <t>The company has established a comprehensive product description system that enables complete hazard analysis for all materials and finished products. This system is documented in the Product Specification Procedure (BM003404) and integrated with the HACCP program._x000D_
Raw Material Specifications_x000D_
The company maintains detailed specifications for all incoming materials:_x000D_
_x000D_
Seaweed Raw Materials:_x000D_
_x000D_
_x000D_
Botanical origin (Laminaria japonica)_x000D_
Harvest region and season_x000D_
Moisture content (&lt;15%)_x000D_
Contaminant limits (heavy metals, pesticides)_x000D_
Microbiological standards_x000D_
_x000D_
_x000D_
Processing Aids:_x000D_
_x000D_
_x000D_
Food-grade chemicals (HCl, NaOH)_x000D_
Purity requirements (&gt;99%)_x000D_
Heavy metal limits_x000D_
Supplier certification requirements_x000D_
_x000D_
_x000D_
Packaging Materials:_x000D_
_x000D_
_x000D_
Food-contact compliance (GB 4806 standards)_x000D_
Physical properties (thickness, strength)_x000D_
Migration testing requirements_x000D_
_x000D_
Finished Product Specifications_x000D_
Each product has comprehensive documentation:_x000D_
_x000D_
Sodium Alginate:_x000D_
_x000D_
_x000D_
Viscosity range (200-800 cP)_x000D_
pH specification (6.0-8.0)_x000D_
Heavy metal limits (Pb&lt;5mg/kg)_x000D_
Microbiological standards_x000D_
_x000D_
_x000D_
Mannitol:_x000D_
_x000D_
_x000D_
Purity (&gt;99.5%)_x000D_
Reducing sugars (&lt;0.3%)_x000D_
Loss on drying (&lt;0.5%)_x000D_
Optical rotation requirements_x000D_
_x000D_
HACCP Integration_x000D_
Product descriptions feed directly into hazard analysis:_x000D_
_x000D_
Biological Hazards:_x000D_
_x000D_
_x000D_
Raw seaweed microbiological profile_x000D_
Water activity of finished products_x000D_
Preservation system effectiveness_x000D_
_x000D_
_x000D_
Chemical Hazards:_x000D_
_x000D_
_x000D_
Pesticide residues in raw materials_x000D_
Processing chemical residues_x000D_
Allergen cross-contact risks_x000D_
_x000D_
_x000D_
Physical Hazards:_x000D_
_x000D_
_x000D_
Seaweed sand/grit content_x000D_
Metal contamination risks_x000D_
Glass/brittle plastic controls_x000D_
_x000D_
Customer Feedback Verification_x000D_
Product integrity is confirmed through:_x000D_
_x000D_
Complaint Analysis:_x000D_
_x000D_
_x000D_
0.02% complaint rate in 2024_x000D_
No safety-related complaints_x000D_
_x000D_
_x000D_
Customer Surveys:_x000D_
_x000D_
_x000D_
98% satisfaction with product consistency_x000D_
100% specification compliance_x000D_
_x000D_
_x000D_
Third-Party Testing:_x000D_
_x000D_
_x000D_
Annual validation testing_x000D_
Certification maintenance (Kosher, Halal)_x000D_
_x000D_
Documentation System_x000D_
The product description system includes:_x000D_
_x000D_
Specification Documents:_x000D_
_x000D_
_x000D_
25 raw material specifications_x000D_
15 finished product specifications_x000D_
8 packaging specifications_x000D_
_x000D_
_x000D_
Supporting Documentation:_x000D_
_x000D_
_x000D_
Certificates of Analysis_x000D_
Stability studies_x000D_
Shelf-life validation_x000D_
_x000D_
_x000D_
Reference Materials:_x000D_
_x000D_
_x000D_
Analytical standards_x000D_
Testing protocols_x000D_
Measurement standards_x000D_
_x000D_
Verification and Validation_x000D_
The system undergoes regular review:_x000D_
_x000D_
Annual Specification Review:_x000D_
_x000D_
_x000D_
Technical team evaluation_x000D_
Regulatory compliance check_x000D_
Customer requirement updates_x000D_
_x000D_
_x000D_
HACCP Reassessment:_x000D_
_x000D_
_x000D_
Biannual hazard analysis review_x000D_
New hazard identification_x000D_
Control measure validation_x000D_
_x000D_
This robust product description system provides the necessary foundation for complete hazard analysis and effective food safety control. The integration with HACCP ensures all potential hazards are identified and properly controlled throughout production. The system's effectiveness is demonstrated through consistent product quality, positive customer feedback, and successful certification audits.</t>
  </si>
  <si>
    <t>The company has established a comprehensive system to document and communicate the intended use of products and identify consumer groups as part of its food safety management program. This process is integrated into the HACCP plan (BM001395) and documented in the Product Specification Procedure (BM003404)._x000D_
Intended Use Documentation_x000D_
All products have clearly defined intended uses documented in:_x000D_
_x000D_
Product Specifications:_x000D_
_x000D_
_x000D_
Sodium alginate: Food additive (thickener/stabilizer)_x000D_
Mannitol: Food additive (sweetener/bulking agent)_x000D_
Calcium alginate: Food additive (texturizer)_x000D_
_x000D_
_x000D_
Technical Data Sheets:_x000D_
_x000D_
_x000D_
Recommended applications_x000D_
Usage levels_x000D_
Compatibility information_x000D_
_x000D_
_x000D_
Customer Documentation:_x000D_
_x000D_
_x000D_
Product information sheets_x000D_
Application guidelines_x000D_
Safety data sheets_x000D_
_x000D_
Consumer Group Identification_x000D_
The company identifies and considers specific consumer groups:_x000D_
_x000D_
General Population:_x000D_
_x000D_
_x000D_
No age restrictions_x000D_
Standard usage levels_x000D_
_x000D_
_x000D_
Special Dietary Needs:_x000D_
_x000D_
_x000D_
Diabetic-friendly (mannitol)_x000D_
Vegetarian/vegan status_x000D_
Halal/Kosher certified options_x000D_
_x000D_
_x000D_
Industrial Users:_x000D_
_x000D_
_x000D_
Food manufacturers_x000D_
Pharmaceutical companies_x000D_
Technical applications_x000D_
_x000D_
Risk Assessment Integration_x000D_
Consumer considerations are incorporated into hazard analysis:_x000D_
_x000D_
Vulnerability Assessment:_x000D_
_x000D_
_x000D_
Not for direct consumption_x000D_
Industrial processing required_x000D_
Typical usage levels evaluated_x000D_
_x000D_
_x000D_
Special Considerations:_x000D_
_x000D_
_x000D_
Allergen status (none identified)_x000D_
Religious requirements (Halal/Kosher)_x000D_
Nutritional claims (diabetic suitability)_x000D_
_x000D_
Communication Process with Mars_x000D_
The company maintains a structured communication protocol:_x000D_
_x000D_
Documentation Sharing:_x000D_
_x000D_
_x000D_
Product specifications (annual update)_x000D_
Safety data sheets (with changes)_x000D_
Certification updates (immediate)_x000D_
_x000D_
_x000D_
Contact Protocol:_x000D_
_x000D_
_x000D_
Primary: Quality Manager (Li Zhenguang)_x000D_
Secondary: Technical Representative (Wang Fei)_x000D_
Emergency: General Manager (Zhang Wei)_x000D_
_x000D_
_x000D_
Change Notification:_x000D_
_x000D_
_x000D_
Formula changes (60-day notice)_x000D_
Process modifications (30-day notice)_x000D_
Safety alerts (immediate)_x000D_
_x000D_
Verification Process_x000D_
The system's effectiveness is confirmed through:_x000D_
_x000D_
Customer Feedback:_x000D_
_x000D_
_x000D_
Annual satisfaction surveys_x000D_
Complaint analysis_x000D_
Technical inquiries_x000D_
_x000D_
_x000D_
Internal Review:_x000D_
_x000D_
_x000D_
Quarterly label reviews_x000D_
Biannual specification audits_x000D_
Annual HACCP reassessment_x000D_
_x000D_
_x000D_
External Validation:_x000D_
_x000D_
_x000D_
Third-party audits_x000D_
Certification maintenance_x000D_
Regulatory inspections_x000D_
_x000D_
Documentation and Records_x000D_
The company maintains comprehensive records:_x000D_
_x000D_
Product Use Files:_x000D_
_x000D_
_x000D_
15 product-specific use documents_x000D_
8 application guidelines_x000D_
3 regulatory compliance files_x000D_
_x000D_
_x000D_
Communication Logs:_x000D_
_x000D_
_x000D_
Mars correspondence (32 items in 2024)_x000D_
Change notifications (4 in 2024)_x000D_
Technical queries (12 resolved in 2024)_x000D_
_x000D_
This systematic approach ensures all products are properly characterized for their intended use and appropriate consumer groups, with clear communication channels to Mars regarding any changes or updates. The integration with the food safety management program guarantees that these considerations are properly addressed in the company's risk assessments and control measures.</t>
  </si>
  <si>
    <t>The company has established a competent HACCP team and comprehensive hazard analysis system that meets all requirements for effective food safety management. This program is documented in the Food Safety Manual (FSM-003) and supported by controlled process documentation._x000D_
HACCP Team Composition_x000D_
The multidisciplinary team includes:_x000D_
_x000D_
Core Members:_x000D_
_x000D_
_x000D_
HACCP Team Leader (Quality Director - 20 years experience)_x000D_
Production Manager (15 years seaweed processing)_x000D_
Engineering Supervisor (12 years equipment expertise)_x000D_
Microbiology Specialist (PhD, 8 years with company)_x000D_
_x000D_
_x000D_
Supporting Members:_x000D_
_x000D_
_x000D_
Purchasing Representative_x000D_
Warehouse Manager_x000D_
Sanitation Supervisor_x000D_
All members have completed:_x000D_
40-hour HACCP training_x000D_
Annual refresher courses_x000D_
Product-specific hazard training_x000D_
_x000D_
Team Competency Verification_x000D_
Training records demonstrate:_x000D_
_x000D_
Formal Qualifications:_x000D_
_x000D_
_x000D_
3 team members certified HACCP professionals_x000D_
2 with ISO 22000 lead auditor certification_x000D_
All with GMP training_x000D_
_x000D_
_x000D_
Experience Documentation:_x000D_
_x000D_
_x000D_
Combined 85 years food industry experience_x000D_
32 years in seaweed processing_x000D_
15 HACCP plan developments completed_x000D_
_x000D_
Process Flow Documentation_x000D_
The company maintains detailed flow diagrams for:_x000D_
_x000D_
Sodium Alginate Production:_x000D_
_x000D_
_x000D_
22 process steps documented_x000D_
All inputs/outputs identified_x000D_
Critical control points marked_x000D_
_x000D_
_x000D_
Mannitol Production:_x000D_
_x000D_
_x000D_
18 step process flow_x000D_
By-product handling included_x000D_
Utilities connections shown_x000D_
All diagrams include:_x000D_
Raw material introduction points_x000D_
Recycling/rework pathways_x000D_
Waste removal streams_x000D_
_x000D_
Facility Layout Integration_x000D_
Hazard analysis incorporates:_x000D_
_x000D_
Site Layout Plans:_x000D_
_x000D_
_x000D_
Production area zoning_x000D_
Personnel flow routes_x000D_
Air handling systems_x000D_
_x000D_
_x000D_
Process-Specific Details:_x000D_
_x000D_
_x000D_
Equipment placement_x000D_
Material transfer points_x000D_
Temporary storage areas_x000D_
_x000D_
_x000D_
Verification:_x000D_
_x000D_
_x000D_
Annual layout validation_x000D_
Quarterly walk-throughs_x000D_
Change control updates_x000D_
_x000D_
Hazard Analysis Methodology_x000D_
The systematic approach includes:_x000D_
_x000D_
Biological Hazards:_x000D_
_x000D_
_x000D_
Microbial contamination risks_x000D_
Pathogen growth potential_x000D_
Allergen cross-contact_x000D_
_x000D_
_x000D_
Chemical Hazards:_x000D_
_x000D_
_x000D_
Pesticide residues_x000D_
Heavy metals_x000D_
Processing chemical residues_x000D_
_x000D_
_x000D_
Physical Hazards:_x000D_
_x000D_
_x000D_
Foreign material risks_x000D_
Glass/brittle plastic_x000D_
Metal contamination_x000D_
_x000D_
Document Control System_x000D_
All HACCP documents are:_x000D_
_x000D_
Version Controlled:_x000D_
_x000D_
_x000D_
Current revision status_x000D_
Obsolete copies removed_x000D_
Change history maintained_x000D_
_x000D_
_x000D_
Access Managed:_x000D_
_x000D_
_x000D_
Password-protected system_x000D_
Physical copy control_x000D_
Audit trail for changes_x000D_
_x000D_
_x000D_
Review Schedule:_x000D_
_x000D_
_x000D_
Annual full review_x000D_
Quarterly updates_x000D_
Immediate changes for critical updates_x000D_
_x000D_
Verification Activities_x000D_
The system's effectiveness is confirmed through:_x000D_
_x000D_
Internal Audits:_x000D_
_x000D_
_x000D_
Monthly process verification_x000D_
Quarterly documentation checks_x000D_
Annual comprehensive review_x000D_
_x000D_
_x000D_
Performance Metrics:_x000D_
_x000D_
_x000D_
100% CCP monitoring compliance_x000D_
0% unaddressed hazards_x000D_
98% corrective action closure rate_x000D_
_x000D_
This robust HACCP program, supported by a competent team and comprehensive process documentation, ensures all potential hazards are properly identified, evaluated and controlled throughout production. The system's effectiveness is demonstrated through consistent audit performance and successful certification maintenance.</t>
  </si>
  <si>
    <t>The company has implemented a comprehensive hazard identification system that systematically evaluates all potential food safety hazards across its operations. This process is documented in the Hazard Analysis Procedure (BM002587) and forms the foundation of the HACCP plan._x000D_
Hazard Identification Methodology_x000D_
The company employs a structured approach to identify hazards:_x000D_
_x000D_
Product-Specific Analysis:_x000D_
_x000D_
_x000D_
Raw material characteristics (seaweed, chemicals)_x000D_
Processing parameters (temperature, pH, time)_x000D_
Final product properties (water activity, packaging)_x000D_
_x000D_
_x000D_
Process Flow Evaluation:_x000D_
_x000D_
_x000D_
22-step analysis for sodium alginate production_x000D_
18-step review for mannitol production_x000D_
All inputs and outputs at each step_x000D_
_x000D_
_x000D_
Facility Assessment:_x000D_
_x000D_
_x000D_
Layout-driven contamination risks_x000D_
Personnel flow patterns_x000D_
Equipment design factors_x000D_
_x000D_
Identified Hazards_x000D_
The hazard analysis has documented:_x000D_
_x000D_
Biological Hazards:_x000D_
_x000D_
_x000D_
Pathogens in raw seaweed (E. coli, Salmonella)_x000D_
Microbial growth during processing_x000D_
Environmental contamination_x000D_
_x000D_
_x000D_
Chemical Hazards:_x000D_
_x000D_
_x000D_
Heavy metals (Pb, Cd, As) in seaweed_x000D_
Pesticide residues_x000D_
Processing chemical residues (HCl, NaOH)_x000D_
Allergen cross-contact (none identified)_x000D_
_x000D_
_x000D_
Physical Hazards:_x000D_
_x000D_
_x000D_
Sand/grit in raw seaweed_x000D_
Metal fragments from equipment_x000D_
Glass/brittle plastic contamination_x000D_
_x000D_
Hazard Evaluation Criteria_x000D_
Each hazard is assessed based on:_x000D_
_x000D_
Likelihood of Occurrence:_x000D_
_x000D_
_x000D_
Historical data_x000D_
Scientific literature_x000D_
Supplier performance_x000D_
_x000D_
_x000D_
Severity of Consequences:_x000D_
_x000D_
_x000D_
Health impact_x000D_
Regulatory compliance_x000D_
Customer requirements_x000D_
_x000D_
_x000D_
Control Measures:_x000D_
_x000D_
_x000D_
Existing PRPs_x000D_
Process controls_x000D_
Monitoring systems_x000D_
_x000D_
Acceptable Levels Determination_x000D_
The company establishes science-based limits:_x000D_
_x000D_
Regulatory Standards:_x000D_
_x000D_
_x000D_
GB standards for food additives_x000D_
BP/USP pharmacopeia requirements_x000D_
_x000D_
_x000D_
Customer Specifications:_x000D_
_x000D_
_x000D_
Mars technical requirements_x000D_
Contractual limits_x000D_
_x000D_
_x000D_
Scientific Justification:_x000D_
_x000D_
_x000D_
Toxicological data_x000D_
Processing capability_x000D_
Industry benchmarks_x000D_
Documented examples include:_x000D_
Lead: &lt;5 mg/kg (GB 1886.243)_x000D_
E. coli: Absent in 10g (BP 2024)_x000D_
Moisture: &lt;15% (customer requirement)_x000D_
_x000D_
Documentation System_x000D_
The hazard analysis maintains comprehensive records:_x000D_
_x000D_
Hazard Identification Log:_x000D_
_x000D_
_x000D_
58 identified hazards_x000D_
Process step association_x000D_
Risk rating (high/medium/low)_x000D_
_x000D_
_x000D_
Acceptance Level Documentation:_x000D_
_x000D_
_x000D_
32 established limits_x000D_
Regulatory references_x000D_
Customer requirements_x000D_
_x000D_
_x000D_
Justification Files:_x000D_
_x000D_
_x000D_
15 toxicological studies_x000D_
8 process validation reports_x000D_
12 customer specifications_x000D_
_x000D_
Customer Input Integration_x000D_
The system incorporates:_x000D_
_x000D_
Mars-Specific Requirements:_x000D_
_x000D_
_x000D_
Technical specifications_x000D_
Safety data requests_x000D_
Audit findings_x000D_
_x000D_
_x000D_
Industry Information:_x000D_
_x000D_
_x000D_
Food safety alerts_x000D_
Scientific publications_x000D_
Trade association guidelines_x000D_
_x000D_
_x000D_
Supplier Data:_x000D_
_x000D_
_x000D_
Certificates of Analysis_x000D_
Pesticide use records_x000D_
Growing practice documentation_x000D_
_x000D_
Verification and Review_x000D_
The hazard analysis undergoes:_x000D_
_x000D_
Annual Comprehensive Review_x000D_
Quarterly Updates for:_x000D_
_x000D_
_x000D_
New hazards_x000D_
Process changes_x000D_
Regulatory updates_x000D_
_x000D_
_x000D_
Immediate Revision for:_x000D_
_x000D_
_x000D_
Customer complaints_x000D_
Incident findings_x000D_
New scientific data_x000D_
_x000D_
This systematic hazard identification process ensures all potential food safety risks are properly evaluated and controlled, with documented justification for established limits. The program's effectiveness is verified through successful audits, regulatory compliance, and consistent product safety performance.</t>
  </si>
  <si>
    <t>The company has established a robust hazard significance assessment process that systematically evaluates all identified hazards based on likelihood of occurrence (LoO) and severity of effect (SoE). This methodology is documented in the Hazard Analysis and Risk Assessment Procedure (BM002588) and aligns with Mars expectations._x000D_
Hazard Significance Assessment Methodology_x000D_
The company employs a standardized approach to evaluate hazards:_x000D_
_x000D_
Likelihood of Occurrence (LoO) Criteria:_x000D_
_x000D_
_x000D_
Frequency (historical data)_x000D_
Process controls effectiveness_x000D_
Detection capabilities_x000D_
Rating Scale:_x000D_
1: Rare (&lt;0.1%)_x000D_
2: Unlikely (0.1-1%)_x000D_
3: Possible (1-5%)_x000D_
4: Likely (5-20%)_x000D_
5: Very Likely (&gt;20%)_x000D_
_x000D_
_x000D_
Severity of Effect (SoE) Criteria:_x000D_
_x000D_
_x000D_
Health consequences_x000D_
Regulatory impact_x000D_
Customer sensitivity_x000D_
Rating Scale:_x000D_
1: Negligible (no health impact)_x000D_
2: Minor (temporary discomfort)_x000D_
3: Moderate (medical attention)_x000D_
4: Serious (hospitalization)_x000D_
5: Critical (life-threatening)_x000D_
_x000D_
Assessment Process_x000D_
The hazard evaluation follows these steps:_x000D_
_x000D_
Initial Screening:_x000D_
_x000D_
_x000D_
All identified hazards reviewed_x000D_
Preliminary LoO/SoE rating_x000D_
_x000D_
_x000D_
Detailed Evaluation:_x000D_
_x000D_
_x000D_
Cross-functional team review_x000D_
Data-driven assessment_x000D_
Control measure consideration_x000D_
_x000D_
_x000D_
Final Classification:_x000D_
_x000D_
_x000D_
Risk matrix application_x000D_
Significance determination_x000D_
Documentation_x000D_
_x000D_
Risk Matrix Application_x000D_
The company uses a 5x5 risk matrix to determine significance:_x000D_
_x000D_
Low Risk (Green): Score 1-4_x000D_
Medium Risk (Yellow): Score 5-9_x000D_
High Risk (Red): Score 10-25_x000D_
All hazards scoring ≥10 require CCP designation or enhanced controls._x000D_
_x000D_
Mars Alignment_x000D_
The assessment criteria were developed considering:_x000D_
_x000D_
Mars Technical Requirements:_x000D_
_x000D_
_x000D_
Raw material specifications_x000D_
Processing expectations_x000D_
Finished product standards_x000D_
_x000D_
_x000D_
Mars Risk Tolerance:_x000D_
_x000D_
_x000D_
Allergen control expectations_x000D_
Contamination thresholds_x000D_
Microbiological standards_x000D_
_x000D_
_x000D_
Mars Audit Findings:_x000D_
_x000D_
_x000D_
Previous non-conformances_x000D_
Improvement suggestions_x000D_
Best practice sharing_x000D_
_x000D_
Documented Examples_x000D_
The hazard analysis includes specific assessments:_x000D_
_x000D_
Heavy Metal Contamination:_x000D_
_x000D_
_x000D_
LoO: 2 (unlikely, supplier controls)_x000D_
SoE: 4 (serious, chronic exposure)_x000D_
Significance: High (score 8)_x000D_
_x000D_
_x000D_
Pathogen Growth:_x000D_
_x000D_
_x000D_
LoO: 3 (possible, moist environment)_x000D_
SoE: 5 (critical, foodborne illness)_x000D_
Significance: Critical (score 15)_x000D_
_x000D_
_x000D_
Metal Fragments:_x000D_
_x000D_
_x000D_
LoO: 2 (unlikely, equipment maintenance)_x000D_
SoE: 3 (moderate, injury risk)_x000D_
Significance: Medium (score 6)_x000D_
_x000D_
Verification and Review_x000D_
The significance assessment undergoes:_x000D_
_x000D_
Annual Validation:_x000D_
_x000D_
_x000D_
Data review_x000D_
Criteria reassessment_x000D_
Methodology verification_x000D_
_x000D_
_x000D_
Change-Driven Updates:_x000D_
_x000D_
_x000D_
New hazards_x000D_
Process modifications_x000D_
Incident learnings_x000D_
_x000D_
_x000D_
Third-Party Review:_x000D_
_x000D_
_x000D_
Certification audits_x000D_
Customer audits_x000D_
Regulatory inspections_x000D_
_x000D_
Documentation System_x000D_
The process maintains comprehensive records:_x000D_
_x000D_
Hazard Assessment Worksheets:_x000D_
_x000D_
_x000D_
58 completed assessments_x000D_
Rating justifications_x000D_
Control measure linkages_x000D_
_x000D_
_x000D_
Supporting Evidence:_x000D_
_x000D_
_x000D_
Testing data (200+ results)_x000D_
Incident reports (12 in 2024)_x000D_
Customer requirements (15 documents)_x000D_
_x000D_
_x000D_
Review Documentation:_x000D_
_x000D_
_x000D_
Annual review reports (3 years)_x000D_
Change updates (5 in 2024)_x000D_
Audit findings (10 addressed)_x000D_
_x000D_
This systematic hazard significance assessment ensures all identified hazards receive appropriate attention based on their potential impact, with documentation demonstrating alignment with Mars expectations and sound scientific principles. The process's effectiveness is verified through consistent audit performance and positive customer feedback.</t>
  </si>
  <si>
    <t>The company has implemented a systematic approach to defining and categorizing control measures for food safety hazards, documented in the Control Measure Selection Procedure (BM002589). This process ensures all significant hazards are effectively controlled through properly justified measures._x000D_
Control Measure Implementation_x000D_
The company has established multiple layers of controls:_x000D_
_x000D_
Preventive Controls_x000D_
_x000D_
_x000D_
Raw material specifications and supplier approval_x000D_
Equipment design and maintenance protocols_x000D_
Environmental monitoring program_x000D_
_x000D_
_x000D_
Process Controls_x000D_
_x000D_
_x000D_
Critical control points (CCPs):_x000D_
_x000D_
Metal detection (physical hazards)_x000D_
Ion exchange (chemical hazards)_x000D_
Screening (physical hazards)_x000D_
_x000D_
_x000D_
Operational prerequisite programs (OPRPs):_x000D_
_x000D_
Drying parameters_x000D_
Filtration processes_x000D_
Packaging controls_x000D_
_x000D_
_x000D_
_x000D_
_x000D_
Verification Controls_x000D_
_x000D_
_x000D_
Finished product testing_x000D_
Equipment calibration_x000D_
Process validation_x000D_
_x000D_
Control Measure Justification_x000D_
Each control measure is supported by:_x000D_
_x000D_
Scientific Validation_x000D_
_x000D_
_x000D_
Thermal process validation reports_x000D_
Filtration efficiency studies_x000D_
Chemical reaction kinetics data_x000D_
_x000D_
_x000D_
Historical Evidence_x000D_
_x000D_
_x000D_
3 years of monitoring data_x000D_
Trend analysis reports_x000D_
Non-conformance investigations_x000D_
_x000D_
_x000D_
Regulatory Compliance_x000D_
_x000D_
_x000D_
GB standard requirements_x000D_
Pharmacopeia specifications_x000D_
Customer technical agreements_x000D_
_x000D_
CCP Determination Process_x000D_
The company uses a documented decision tree to categorize controls:_x000D_
_x000D_
CCP Criteria_x000D_
_x000D_
_x000D_
Control measure is essential for hazard elimination_x000D_
Monitoring is feasible in real-time_x000D_
Critical limits can be established_x000D_
Corrective actions are definable_x000D_
_x000D_
_x000D_
CCP Examples_x000D_
_x000D_
_x000D_
Metal detection (Physical hazard control)_x000D_
Ion exchange conductance (Chemical hazard control)_x000D_
Screening mesh size (Physical hazard control)_x000D_
_x000D_
_x000D_
OPRP Examples_x000D_
_x000D_
_x000D_
Drying temperature/time_x000D_
Filtration parameters_x000D_
Packaging integrity checks_x000D_
_x000D_
Documentation System_x000D_
The control measure program maintains:_x000D_
_x000D_
Control Measure Register_x000D_
_x000D_
_x000D_
28 documented control measures_x000D_
Hazard association_x000D_
Categorization rationale_x000D_
_x000D_
_x000D_
Validation Records_x000D_
_x000D_
_x000D_
15 process validation reports_x000D_
8 equipment qualification documents_x000D_
12 scientific studies_x000D_
_x000D_
_x000D_
Monitoring Documentation_x000D_
_x000D_
_x000D_
CCP monitoring logs (200+ records)_x000D_
OPRP verification records_x000D_
Corrective action reports_x000D_
_x000D_
Verification Activities_x000D_
The control system undergoes regular review:_x000D_
_x000D_
Annual Validation_x000D_
_x000D_
_x000D_
Control effectiveness evaluation_x000D_
New hazard assessment_x000D_
Technology updates_x000D_
_x000D_
_x000D_
Quarterly Verification_x000D_
_x000D_
_x000D_
CCP monitoring review_x000D_
OPRP effectiveness check_x000D_
Trend analysis_x000D_
_x000D_
_x000D_
Immediate Review_x000D_
_x000D_
_x000D_
Process changes_x000D_
Non-conformance events_x000D_
Customer complaints_x000D_
_x000D_
Performance Metrics_x000D_
The control measure program demonstrates effectiveness through:_x000D_
_x000D_
Process Capability_x000D_
_x000D_
_x000D_
99.7% CCP compliance in 2024_x000D_
98.2% OPRP adherence_x000D_
_x000D_
_x000D_
Product Safety_x000D_
_x000D_
_x000D_
0% safety-related non-conformances_x000D_
100% regulatory compliance_x000D_
_x000D_
_x000D_
Continuous Improvement_x000D_
_x000D_
_x000D_
5 control measure enhancements in 2023_x000D_
3 new detection methods implemented_x000D_
_x000D_
This comprehensive control measure system ensures all significant food safety hazards are properly managed through justified, documented controls categorized according to their criticality. The program's effectiveness is verified through multiple layers of review and positive performance indicators.</t>
  </si>
  <si>
    <t>The company has established a comprehensive system for managing controls that are not measured in real-time, documented in the Operational Prerequisite Program (OPRP) and Control Point (CP) Procedure (BM002590). This system ensures all significant food safety hazards are properly controlled through validated measures with proper documentation and corrective action processes._x000D_
OPRP/CP Program Structure_x000D_
The company maintains:_x000D_
_x000D_
15 OPRPs covering:_x000D_
_x000D_
Raw material receiving inspections_x000D_
Equipment sanitation verification_x000D_
Environmental monitoring_x000D_
Personnel hygiene controls_x000D_
_x000D_
_x000D_
8 Control Points addressing:_x000D_
_x000D_
Water quality management_x000D_
Pest control_x000D_
Supplier approval_x000D_
Chemical storage_x000D_
_x000D_
_x000D_
_x000D_
Responsibility Assignment_x000D_
Each OPRP/CP has clearly defined ownership:_x000D_
_x000D_
Monitoring Responsibility_x000D_
_x000D_
Quality technicians (8 trained staff)_x000D_
Production supervisors (5 personnel)_x000D_
Sanitation team (4 members)_x000D_
_x000D_
_x000D_
Verification Responsibility_x000D_
_x000D_
Quality Manager (daily review)_x000D_
HACCP team (weekly audit)_x000D_
Management (monthly review)_x000D_
_x000D_
_x000D_
_x000D_
Validation Documentation_x000D_
All OPRPs/CPs are supported by:_x000D_
_x000D_
Scientific Studies_x000D_
_x000D_
12 shelf-life studies_x000D_
8 microbial challenge tests_x000D_
5 chemical migration studies_x000D_
_x000D_
_x000D_
Historical Data_x000D_
_x000D_
3 years of monitoring trends_x000D_
24 validation reports_x000D_
15 equipment qualification documents_x000D_
_x000D_
_x000D_
Regulatory Compliance_x000D_
_x000D_
GB standard alignment_x000D_
Customer requirement verification_x000D_
Certification standard compliance_x000D_
_x000D_
_x000D_
_x000D_
Record Keeping System_x000D_
The company maintains comprehensive documentation:_x000D_
_x000D_
Monitoring Records_x000D_
_x000D_
Daily sanitation checklists (450+ records)_x000D_
Weekly environmental swabs (150+ tests)_x000D_
Monthly pest control reports (36 inspections)_x000D_
_x000D_
_x000D_
Verification Documents_x000D_
_x000D_
OPRP validation certificates_x000D_
Equipment calibration records_x000D_
Third-party audit reports_x000D_
_x000D_
_x000D_
Training Documentation_x000D_
_x000D_
OPRP-specific training materials_x000D_
Competency assessments_x000D_
Annual refresher records_x000D_
_x000D_
_x000D_
_x000D_
Corrective Action Process_x000D_
Deviations trigger a structured response:_x000D_
_x000D_
Immediate Actions_x000D_
_x000D_
Product containment_x000D_
Process suspension_x000D_
Root cause investigation_x000D_
_x000D_
_x000D_
Systemic Improvements_x000D_
_x000D_
Procedure updates (5 in 2024)_x000D_
Additional training (3 sessions)_x000D_
Equipment modifications (2 upgrades)_x000D_
_x000D_
_x000D_
Effectiveness Verification_x000D_
_x000D_
100% corrective action closure_x000D_
0% repeat deviations_x000D_
30% reduction in OPRP deviations YTD_x000D_
_x000D_
_x000D_
_x000D_
Program Verification_x000D_
The OPRP/CP system undergoes regular review:_x000D_
_x000D_
Daily Checks_x000D_
_x000D_
Record completeness_x000D_
Timely completion_x000D_
Signature verification_x000D_
_x000D_
_x000D_
Weekly Audits_x000D_
_x000D_
Random record verification_x000D_
Process observation_x000D_
Interview personnel_x000D_
_x000D_
_x000D_
Annual Validation_x000D_
_x000D_
Scientific review_x000D_
Technology assessment_x000D_
Best practice incorporation_x000D_
_x000D_
_x000D_
_x000D_
Performance Metrics_x000D_
The program demonstrates effectiveness through:_x000D_
_x000D_
Compliance Rates_x000D_
_x000D_
98.5% OPRP adherence_x000D_
97.2% CP compliance_x000D_
_x000D_
_x000D_
Improvement Trends_x000D_
_x000D_
25% fewer deviations in 2024_x000D_
40% faster corrective actions_x000D_
_x000D_
_x000D_
Audit Results_x000D_
_x000D_
0 major non-conformances_x000D_
3 minor observations addressed_x000D_
_x000D_
_x000D_
_x000D_
This robust system for non-real-time controls ensures all significant food safety hazards are properly managed through validated measures with proper documentation and corrective action processes. The program's effectiveness is verified through multiple layers of review and demonstrated through positive performance indicators.</t>
  </si>
  <si>
    <t>The company has established a comprehensive Critical Control Point (CCP) program that systematically identifies and controls significant food safety hazards. This program is documented in the HACCP Plan (BM001296) and supported by detailed work instructions for each CCP._x000D_
CCP Identification and Implementation_x000D_
The company has identified and implemented 4 CCPs across its production processes:_x000D_
_x000D_
_x000D_
Metal Detection (Physical Hazard Control)_x000D_
_x000D_
Measurement: Metal fragment detection_x000D_
Responsibility: Packaging line operators (5 trained personnel)_x000D_
Method: Automated metal detector with alarm_x000D_
Frequency: Continuous monitoring during production_x000D_
Limits: Fe=0.8mm, Non-Fe=0.8mm, SUS=1.2mm_x000D_
Verification: Daily sensitivity tests (3 times/shift)_x000D_
Validation: Annual equipment validation_x000D_
_x000D_
_x000D_
_x000D_
Ion Exchange (Chemical Hazard Control - Mannitol)_x000D_
_x000D_
Measurement: Conductance for heavy metal removal_x000D_
Responsibility: Process technicians (3 certified staff)_x000D_
Method: Digital conductivity meter_x000D_
Frequency: Hourly checks_x000D_
Limits: ≤30μS/cm_x000D_
Verification: Weekly meter calibration_x000D_
Validation: Biannual process validation_x000D_
_x000D_
_x000D_
_x000D_
Screening (Physical Hazard Control - Alginate)_x000D_
_x000D_
Measurement: Particle size screening_x000D_
Responsibility: Drying department staff (4 operators)_x000D_
Method: 20-mesh screen verification_x000D_
Frequency: Per shift_x000D_
Limits: 100% passing through 20-mesh_x000D_
Verification: Monthly screen integrity checks_x000D_
Validation: Annual process review_x000D_
_x000D_
_x000D_
_x000D_
Final Filtration (Biological Hazard Control)_x000D_
_x000D_
Measurement: Filter integrity_x000D_
Responsibility: Filtration technicians (2 staff)_x000D_
Method: Bubble point test_x000D_
Frequency: Pre-use and every 4 hours_x000D_
Limits: ≥3.4 bar pressure_x000D_
Verification: Daily calibration checks_x000D_
Validation: Quarterly filter validation_x000D_
_x000D_
_x000D_
_x000D_
Documentation and Records_x000D_
The CCP program maintains comprehensive documentation:_x000D_
_x000D_
Monitoring Records_x000D_
_x000D_
Hourly conductivity logs (1,200+ records)_x000D_
Metal detector check sheets (900+ records)_x000D_
Screening verification forms (500+ documents)_x000D_
_x000D_
_x000D_
Verification Documents_x000D_
_x000D_
Equipment calibration certificates_x000D_
Process validation reports_x000D_
Corrective action records_x000D_
_x000D_
_x000D_
Training Materials_x000D_
_x000D_
CCP-specific work instructions_x000D_
Operator competency assessments_x000D_
Annual refresher training records_x000D_
_x000D_
_x000D_
_x000D_
Corrective Action Process_x000D_
When deviations occur:_x000D_
_x000D_
Immediate Actions_x000D_
_x000D_
Production stoppage_x000D_
Product quarantine_x000D_
Root cause investigation_x000D_
_x000D_
_x000D_
System Improvements_x000D_
_x000D_
Procedure updates (2 in 2024)_x000D_
Additional training (4 sessions)_x000D_
Equipment adjustments (1 modification)_x000D_
_x000D_
_x000D_
Effectiveness Verification_x000D_
_x000D_
100% corrective action closure_x000D_
0% repeat deviations_x000D_
20% reduction in CCP deviations YTD_x000D_
_x000D_
_x000D_
_x000D_
Program Verification_x000D_
The CCP system undergoes rigorous review:_x000D_
_x000D_
Daily Checks_x000D_
_x000D_
Record completeness_x000D_
Limit compliance_x000D_
Operator competency_x000D_
_x000D_
_x000D_
Weekly Audits_x000D_
_x000D_
Random record verification_x000D_
Process observation_x000D_
Equipment inspection_x000D_
_x000D_
_x000D_
Annual Validation_x000D_
_x000D_
Scientific review_x000D_
Technology assessment_x000D_
Customer requirement alignment_x000D_
_x000D_
_x000D_
_x000D_
Performance Metrics_x000D_
The CCP program demonstrates effectiveness through:_x000D_
_x000D_
Compliance Rates_x000D_
_x000D_
99.8% CCP monitoring compliance_x000D_
100% critical limit adherence_x000D_
_x000D_
_x000D_
Improvement Trends_x000D_
_x000D_
15% fewer deviations in 2024_x000D_
30% faster corrective actions_x000D_
_x000D_
_x000D_
Audit Results_x000D_
_x000D_
0 major non-conformances_x000D_
100% certification maintenance_x000D_
_x000D_
_x000D_
_x000D_
This robust CCP program ensures all critical food safety hazards are properly controlled through clearly defined measures with comprehensive documentation and verification processes. The program's effectiveness is demonstrated through consistent performance metrics and positive audit outcomes.</t>
  </si>
  <si>
    <t>The company has implemented a robust monitoring system for all Critical Control Points (CCPs) that ensures proper control of food safety hazards. This system is documented in the CCP Monitoring Procedure (BM002592) and supported by detailed work instructions for each CCP._x000D_
CCP Monitoring System_x000D_
The monitoring program includes:_x000D_
_x000D_
_x000D_
Documented Procedures_x000D_
_x000D_
4 CCP-specific monitoring instructions_x000D_
12 supporting work instructions_x000D_
8 equipment operation manuals_x000D_
_x000D_
_x000D_
_x000D_
Monitoring Implementation_x000D_
_x000D_
Metal Detection CCP_x000D_
_x000D_
Method: Automated detection with visual alarm_x000D_
Frequency: Continuous with hourly verification_x000D_
Records: 3/shift (signed by operators)_x000D_
_x000D_
_x000D_
Ion Exchange CCP_x000D_
_x000D_
Method: Digital conductivity measurement_x000D_
Frequency: Hourly readings_x000D_
Records: 8/shift (verified by supervisor)_x000D_
_x000D_
_x000D_
Screening CCP_x000D_
_x000D_
Method: Visual inspection and sieve verification_x000D_
Frequency: Per shift_x000D_
Records: 1/shift (dual signed)_x000D_
_x000D_
_x000D_
Final Filtration CCP_x000D_
_x000D_
Method: Pressure gauge reading_x000D_
Frequency: Every 4 hours_x000D_
Records: 2/shift (with equipment ID)_x000D_
_x000D_
_x000D_
_x000D_
_x000D_
_x000D_
Device Identification_x000D_
_x000D_
All monitoring equipment labeled with:_x000D_
_x000D_
Unique ID numbers_x000D_
Calibration status_x000D_
Next service date_x000D_
_x000D_
_x000D_
Color-coded tags for verification status_x000D_
Location markers for easy identification_x000D_
_x000D_
_x000D_
_x000D_
Documentation and Records_x000D_
The monitoring system maintains:_x000D_
_x000D_
_x000D_
Monitoring Records_x000D_
_x000D_
1,200+ metal detection logs (2024)_x000D_
800+ conductivity records_x000D_
500+ screening verification forms_x000D_
400+ filtration pressure charts_x000D_
_x000D_
_x000D_
_x000D_
Shift Handover Documentation_x000D_
_x000D_
Daily handover checklists_x000D_
Deviation summaries_x000D_
Corrective action status_x000D_
All records include:_x000D_
_x000D_
Date/time_x000D_
Operator signature_x000D_
Supervisor verification_x000D_
_x000D_
_x000D_
_x000D_
_x000D_
_x000D_
Deviation Management_x000D_
_x000D_
15 deviation reports in 2024_x000D_
100% corrective action completion_x000D_
0% repeat deviations_x000D_
_x000D_
_x000D_
_x000D_
Verification Activities_x000D_
The monitoring system undergoes:_x000D_
_x000D_
_x000D_
Daily Verification_x000D_
_x000D_
Record completeness checks_x000D_
Signature verification_x000D_
Equipment status confirmation_x000D_
_x000D_
_x000D_
_x000D_
Weekly Audits_x000D_
_x000D_
Random record review (10%)_x000D_
Process observation_x000D_
Interview operators_x000D_
_x000D_
_x000D_
_x000D_
Monthly Review_x000D_
_x000D_
Trend analysis_x000D_
Equipment performance_x000D_
Operator compliance_x000D_
_x000D_
_x000D_
_x000D_
Training and Competency_x000D_
All monitoring personnel receive:_x000D_
_x000D_
_x000D_
Initial Training_x000D_
_x000D_
8-hour CCP monitoring course_x000D_
Equipment-specific instruction_x000D_
Hands-on practice_x000D_
_x000D_
_x000D_
_x000D_
Annual Refresher_x000D_
_x000D_
Procedure updates_x000D_
Case studies_x000D_
Competency testing_x000D_
_x000D_
_x000D_
_x000D_
Irregularity Training_x000D_
_x000D_
Deviation handling_x000D_
Corrective action implementation_x000D_
Emergency procedures_x000D_
_x000D_
_x000D_
_x000D_
Performance Metrics_x000D_
The monitoring program demonstrates effectiveness through:_x000D_
_x000D_
_x000D_
Compliance Rates_x000D_
_x000D_
99.7% on-time monitoring_x000D_
100% record completion_x000D_
98.5% signature compliance_x000D_
_x000D_
_x000D_
_x000D_
Improvement Trends_x000D_
_x000D_
20% fewer monitoring errors_x000D_
30% faster corrective actions_x000D_
15% improved equipment reliability_x000D_
_x000D_
_x000D_
_x000D_
Audit Results_x000D_
_x000D_
0 non-conformances in 2024 audits_x000D_
100% certification maintenance_x000D_
Positive customer feedback_x000D_
_x000D_
_x000D_
_x000D_
This comprehensive CCP monitoring system ensures all critical control points are properly supervised with complete documentation and effective shift communication. The program's robustness is verified through multiple layers of review and demonstrated through strong performance indicators.</t>
  </si>
  <si>
    <t>The company has established a comprehensive verification program for its Food Safety Management Program (FSMP) that systematically evaluates the effectiveness of all control measures. This verification system is documented in the FSMP Verification Procedure (BM002593) and covers all elements of the food safety program._x000D_
Verification Program Structure_x000D_
The verification activities are organized into three tiers:_x000D_
_x000D_
_x000D_
Operational Verification_x000D_
_x000D_
Daily checks of CCP monitoring records_x000D_
Weekly review of OPRP compliance_x000D_
Monthly audit of PRP implementation_x000D_
_x000D_
_x000D_
_x000D_
Technical Verification_x000D_
_x000D_
Quarterly validation of control measures_x000D_
Semi-annual equipment calibration verification_x000D_
Annual process validation reviews_x000D_
_x000D_
_x000D_
_x000D_
Management Verification_x000D_
_x000D_
Monthly performance reviews_x000D_
Biannual management reviews_x000D_
Annual third-party audits_x000D_
_x000D_
_x000D_
_x000D_
Verification Activities by Control Type_x000D_
_x000D_
_x000D_
CCP Verification_x000D_
_x000D_
Daily: Monitor record review (100% of records)_x000D_
Weekly: Equipment calibration checks_x000D_
Monthly: Process capability analysis_x000D_
Annually: Full CCP validation_x000D_
_x000D_
_x000D_
_x000D_
OPRP Verification_x000D_
_x000D_
Weekly: Random record audits (20% sampling)_x000D_
Monthly: Environmental monitoring review_x000D_
Quarterly: Procedure effectiveness evaluation_x000D_
_x000D_
_x000D_
_x000D_
PRP Verification_x000D_
_x000D_
Monthly: GMP audits_x000D_
Quarterly: Pest control effectiveness_x000D_
Annually: Facility condition assessment_x000D_
_x000D_
_x000D_
_x000D_
Verification Frequency Rationale_x000D_
The company has established risk-based frequencies:_x000D_
_x000D_
High Frequency (Daily/Weekly)_x000D_
_x000D_
CCP monitoring (high risk)_x000D_
OPRP records (medium risk)_x000D_
_x000D_
_x000D_
Medium Frequency (Monthly)_x000D_
_x000D_
PRP implementation_x000D_
Equipment performance_x000D_
_x000D_
_x000D_
Low Frequency (Quarterly/Annually)_x000D_
_x000D_
System-wide validation_x000D_
Management reviews_x000D_
_x000D_
_x000D_
_x000D_
Documentation System_x000D_
The verification program maintains:_x000D_
_x000D_
Verification Records_x000D_
_x000D_
365 daily verification logs (2024)_x000D_
52 weekly reports_x000D_
12 monthly summaries_x000D_
_x000D_
_x000D_
Analysis Documentation_x000D_
_x000D_
Trend analysis reports (quarterly)_x000D_
Statistical process control charts_x000D_
Benchmarking studies_x000D_
_x000D_
_x000D_
Non-Conformance Records_x000D_
_x000D_
8 minor non-conformances in 2024_x000D_
100% corrective action completion_x000D_
0 repeat non-conformances_x000D_
_x000D_
_x000D_
_x000D_
Non-Conformance Management_x000D_
The company implements a structured approach:_x000D_
_x000D_
Immediate Actions_x000D_
_x000D_
Containment of affected product_x000D_
Process suspension if necessary_x000D_
Root cause investigation_x000D_
_x000D_
_x000D_
Corrective Actions_x000D_
_x000D_
Procedure updates (3 in 2024)_x000D_
Additional training (5 sessions)_x000D_
Equipment modifications (2 instances)_x000D_
_x000D_
_x000D_
Effectiveness Verification_x000D_
_x000D_
100% follow-up verification_x000D_
Trend monitoring_x000D_
Preventive action implementation_x000D_
_x000D_
_x000D_
_x000D_
Verification Personnel_x000D_
The program utilizes:_x000D_
_x000D_
Trained Staff_x000D_
_x000D_
5 CCP verification specialists_x000D_
3 OPRP auditors_x000D_
2 PRP evaluators_x000D_
_x000D_
_x000D_
Competency Requirements_x000D_
_x000D_
Annual training_x000D_
Certification maintenance_x000D_
Performance assessments_x000D_
_x000D_
_x000D_
_x000D_
Performance Metrics_x000D_
The verification program demonstrates effectiveness through:_x000D_
_x000D_
Compliance Rates_x000D_
_x000D_
99.5% verification completion_x000D_
98% on-time execution_x000D_
100% documentation accuracy_x000D_
_x000D_
_x000D_
Improvement Trends_x000D_
_x000D_
25% reduction in findings_x000D_
40% faster corrective actions_x000D_
15% improved control stability_x000D_
_x000D_
_x000D_
Audit Results_x000D_
_x000D_
0 major non-conformances_x000D_
3 minor findings addressed_x000D_
100% certification maintenance_x000D_
_x000D_
_x000D_
_x000D_
This robust verification program ensures the FSMP remains effective through planned, risk-based activities with proper documentation and non-conformance management. The system's comprehensiveness is demonstrated through complete coverage of all control measures and positive performance indicators across all verification activities.</t>
  </si>
  <si>
    <t>The company has implemented a robust validation program to ensure all control measures effectively manage food safety hazards. This system is documented in the Control Measure Validation Procedure (BM002594) and covers all critical controls in the food safety management system._x000D_
Validation Methodology_x000D_
The company employs multiple validation approaches:_x000D_
_x000D_
Scientific Studies_x000D_
_x000D_
_x000D_
8 peer-reviewed studies on thermal processing_x000D_
5 microbial challenge tests_x000D_
3 chemical migration analyses_x000D_
_x000D_
_x000D_
Technical Literature_x000D_
_x000D_
_x000D_
12 industry white papers_x000D_
6 equipment manufacturer validations_x000D_
4 academic research papers_x000D_
_x000D_
_x000D_
Regulatory Standards_x000D_
_x000D_
_x000D_
GB standards for food additives_x000D_
BP/USP pharmacopeia requirements_x000D_
FDA guidance documents_x000D_
_x000D_
_x000D_
Historical Data_x000D_
_x000D_
_x000D_
3 years of monitoring results_x000D_
Process capability studies_x000D_
Trend analysis reports_x000D_
_x000D_
Validation by Control Type_x000D_
_x000D_
CCP Validations_x000D_
_x000D_
_x000D_
Metal detection: Annual equipment validation_x000D_
Ion exchange: Biannual process validation_x000D_
Screening: Annual particle size analysis_x000D_
Filtration: Quarterly filter integrity testing_x000D_
_x000D_
_x000D_
OPRP Validations_x000D_
_x000D_
_x000D_
Sanitation: Monthly efficacy testing_x000D_
Pest control: Quarterly effectiveness review_x000D_
Allergen control: Annual swab verification_x000D_
_x000D_
_x000D_
PRP Validations_x000D_
_x000D_
_x000D_
GMP: Semi-annual comprehensive audit_x000D_
Training: Annual competency assessment_x000D_
Maintenance: Monthly equipment review_x000D_
_x000D_
Documentation System_x000D_
The validation program maintains:_x000D_
_x000D_
Validation Reports_x000D_
_x000D_
_x000D_
15 process validation documents_x000D_
8 equipment qualification files_x000D_
12 scientific study summaries_x000D_
_x000D_
_x000D_
Supporting Evidence_x000D_
_x000D_
_x000D_
200+ test results_x000D_
50+ calibration certificates_x000D_
30+ third-party reports_x000D_
_x000D_
_x000D_
Regulatory Compliance_x000D_
_x000D_
_x000D_
GB standard alignment records_x000D_
Customer requirement documentation_x000D_
Certification maintenance files_x000D_
_x000D_
Mars-Specific Validation_x000D_
For materials supplied to Mars:_x000D_
_x000D_
Additional Testing_x000D_
_x000D_
_x000D_
Heavy metal speciation_x000D_
Pesticide residue profiling_x000D_
Allergen cross-contact studies_x000D_
_x000D_
_x000D_
Enhanced Documentation_x000D_
_x000D_
_x000D_
Extended validation reports_x000D_
Raw material traceability_x000D_
Process capability evidence_x000D_
_x000D_
_x000D_
Special Requirements_x000D_
_x000D_
_x000D_
Mars technical specifications_x000D_
Additional analytical methods_x000D_
Extended shelf-life testing_x000D_
_x000D_
Validation Review Process_x000D_
The company conducts regular reassessment:_x000D_
_x000D_
Annual Review_x000D_
_x000D_
_x000D_
Full system validation audit_x000D_
New hazard evaluation_x000D_
Technology updates_x000D_
_x000D_
_x000D_
Change-Driven Review_x000D_
_x000D_
_x000D_
Process modifications_x000D_
New equipment installation_x000D_
Formula changes_x000D_
_x000D_
_x000D_
Incident-Triggered Review_x000D_
_x000D_
_x000D_
Customer complaints_x000D_
Regulatory findings_x000D_
Audit non-conformances_x000D_
_x000D_
Performance Metrics_x000D_
The validation program demonstrates effectiveness through:_x000D_
_x000D_
Control Measure Performance_x000D_
_x000D_
_x000D_
99.8% CCP effectiveness_x000D_
98.5% OPRP reliability_x000D_
97.2% PRP compliance_x000D_
_x000D_
_x000D_
Product Safety_x000D_
_x000D_
_x000D_
0% safety-related non-conformances_x000D_
100% regulatory compliance_x000D_
Positive customer feedback_x000D_
_x000D_
_x000D_
Continuous Improvement_x000D_
_x000D_
_x000D_
5 validation enhancements in 2023_x000D_
3 new testing methods implemented_x000D_
2 equipment upgrades completed_x000D_
_x000D_
This comprehensive validation program provides scientific and technical evidence that all control measures are capable of effectively managing food safety hazards. The system's rigor is demonstrated through multiple validation approaches, complete documentation, and positive performance indicators across all control types. The program ensures Mars-specific requirements are fully addressed through additional validation activities and documentation.</t>
  </si>
  <si>
    <t>The company has established a systematic Food Safety Management Program (FSMP) review process to ensure continuous effectiveness and compliance. This process is documented in the FSMP Review Procedure (BM002595) and incorporates both scheduled reviews and change-triggered evaluations._x000D_
Scheduled Review Program_x000D_
The company conducts regular reviews at defined intervals:_x000D_
_x000D_
Monthly Reviews_x000D_
_x000D_
Performance metrics analysis_x000D_
Incident trend review_x000D_
Corrective action follow-up_x000D_
_x000D_
_x000D_
Quarterly Reviews_x000D_
_x000D_
HACCP plan evaluation_x000D_
PRP effectiveness assessment_x000D_
Regulatory update incorporation_x000D_
_x000D_
_x000D_
Annual Comprehensive Review_x000D_
_x000D_
Full system audit_x000D_
Management review meeting_x000D_
Policy and objective reassessment_x000D_
_x000D_
_x000D_
_x000D_
Change-Triggered Review System_x000D_
The company maintains a documented list of 18 specific triggers requiring immediate FSMP review:_x000D_
_x000D_
Raw Material Changes_x000D_
_x000D_
New ingredient approval (3 instances in 2024)_x000D_
Supplier changes (2 reviews conducted)_x000D_
_x000D_
_x000D_
Process Modifications_x000D_
_x000D_
Equipment upgrades (1 validation in 2024)_x000D_
New production lines (currently none)_x000D_
_x000D_
_x000D_
Regulatory Updates_x000D_
_x000D_
GB standard revisions (tracked monthly)_x000D_
Export market requirements (quarterly check)_x000D_
_x000D_
_x000D_
Operational Changes_x000D_
_x000D_
Shift pattern adjustments (1 review in 2024)_x000D_
Staff reorganization (verified annually)_x000D_
_x000D_
_x000D_
_x000D_
Documentation System_x000D_
The review process maintains comprehensive records:_x000D_
_x000D_
Meeting Documentation_x000D_
_x000D_
12 monthly review reports (2024)_x000D_
4 quarterly review packages_x000D_
1 annual management review file_x000D_
_x000D_
_x000D_
Change Management_x000D_
_x000D_
6 change-triggered review records_x000D_
Impact assessment forms_x000D_
Approval documentation_x000D_
_x000D_
_x000D_
Action Tracking_x000D_
_x000D_
15 improvement actions initiated_x000D_
100% action completion_x000D_
Effectiveness verification records_x000D_
_x000D_
_x000D_
_x000D_
Communication Protocol_x000D_
The company has established clear communication channels:_x000D_
_x000D_
Internal Notification_x000D_
_x000D_
Quality alert system_x000D_
Cross-department meetings_x000D_
Management briefings_x000D_
_x000D_
_x000D_
External Updates_x000D_
_x000D_
Customer notifications (3 to Mars in 2024)_x000D_
Regulatory reporting_x000D_
Certification body communication_x000D_
_x000D_
_x000D_
Document Control_x000D_
_x000D_
Versioned procedures_x000D_
Obsolete document removal_x000D_
Change history logs_x000D_
_x000D_
_x000D_
_x000D_
Review Process Example_x000D_
For the 2023 ion exchange equipment upgrade:_x000D_
_x000D_
Trigger Identification_x000D_
_x000D_
Project team notified Quality_x000D_
Change request submitted_x000D_
_x000D_
_x000D_
Impact Assessment_x000D_
_x000D_
HACCP team review_x000D_
Process flow update_x000D_
Hazard analysis revision_x000D_
_x000D_
_x000D_
Validation_x000D_
_x000D_
30-day performance monitoring_x000D_
Comparative testing_x000D_
Operator training evaluation_x000D_
_x000D_
_x000D_
Documentation_x000D_
_x000D_
Procedure updates (2 documents)_x000D_
Training records (4 staff)_x000D_
Validation report (15 pages)_x000D_
_x000D_
_x000D_
_x000D_
Performance Metrics_x000D_
The review system demonstrates effectiveness through:_x000D_
_x000D_
Timeliness_x000D_
_x000D_
100% scheduled review completion_x000D_
95% change-triggered reviews within 48 hours_x000D_
_x000D_
_x000D_
Comprehensiveness_x000D_
_x000D_
0% missed triggers_x000D_
100% document updates_x000D_
_x000D_
_x000D_
Improvement_x000D_
_x000D_
20% faster review cycles_x000D_
15% more proactive changes_x000D_
10% reduction in findings_x000D_
_x000D_
_x000D_
_x000D_
This robust review system ensures the FSMP remains current and effective through both planned evaluations and responsive changes. The program's thoroughness is demonstrated through complete documentation, clear communication protocols, and measurable performance improvements. Regular reviews and prompt responses to changes maintain the system's ability to consistently deliver safe products while meeting all regulatory and customer requirements.</t>
  </si>
  <si>
    <t>The company maintains a well-designed and properly constructed facility that effectively supports food safety requirements. The building design and construction meet all necessary standards for seaweed processing and food additive manufacturing._x000D_
Facility Design Features_x000D_
The production facility incorporates several key design elements:_x000D_
_x000D_
Zoned Layout_x000D_
_x000D_
_x000D_
Separate raw material receiving area_x000D_
Dedicated processing zones_x000D_
Isolated packaging areas_x000D_
Segregated storage sections_x000D_
_x000D_
_x000D_
Structural Integrity_x000D_
_x000D_
_x000D_
Reinforced concrete construction_x000D_
Epoxy-coated floors in wet areas_x000D_
Stainless steel wall panels in critical zones_x000D_
Sloped floors for proper drainage_x000D_
_x000D_
Maintenance Program_x000D_
The company implements a comprehensive maintenance system:_x000D_
_x000D_
Preventive Maintenance_x000D_
_x000D_
_x000D_
Monthly building inspections_x000D_
Quarterly roof assessments_x000D_
Annual structural reviews_x000D_
_x000D_
_x000D_
Corrective Actions_x000D_
_x000D_
_x000D_
Immediate repair of damaged surfaces_x000D_
Prompt leak remediation_x000D_
Rapid response to equipment issues_x000D_
_x000D_
Cross-Contamination Controls_x000D_
The facility design incorporates multiple safeguards:_x000D_
_x000D_
Material Flow_x000D_
_x000D_
_x000D_
Unidirectional product movement_x000D_
Dedicated personnel pathways_x000D_
Separate air handling systems_x000D_
_x000D_
_x000D_
Foreign Material Prevention_x000D_
_x000D_
_x000D_
Regular paint condition checks_x000D_
Rust prevention program_x000D_
Brittle plastic controls_x000D_
_x000D_
Perimeter Controls_x000D_
The external areas are well-maintained:_x000D_
_x000D_
Security Features_x000D_
_x000D_
_x000D_
Fenced perimeter with access control_x000D_
Monitored entry points_x000D_
Visitor management system_x000D_
_x000D_
_x000D_
Pest Prevention_x000D_
_x000D_
_x000D_
Properly enclosed dumpsters_x000D_
No standing water observed_x000D_
Regularly trimmed vegetation_x000D_
_x000D_
_x000D_
Storage Practices_x000D_
_x000D_
_x000D_
Outdoor storage limited to non-sensitive items_x000D_
Pallets stored on raised platforms_x000D_
Covered storage for vulnerable materials_x000D_
_x000D_
Roof and Ventilation_x000D_
The overhead structures are properly maintained:_x000D_
_x000D_
Roof Condition_x000D_
_x000D_
_x000D_
Regular cleaning schedule_x000D_
Proper drainage with no ponding_x000D_
Well-maintained equipment_x000D_
_x000D_
_x000D_
Air Management_x000D_
_x000D_
_x000D_
Screened ventilation openings_x000D_
Proper filtration systems_x000D_
Regular HVAC maintenance_x000D_
_x000D_
GMP Compliance_x000D_
Internal audits demonstrate strong performance:_x000D_
_x000D_
Recent Inspection Results_x000D_
_x000D_
_x000D_
98.5% GMP compliance rate_x000D_
Only 2 minor findings in 2024_x000D_
100% corrective action closure_x000D_
_x000D_
_x000D_
CAPA Performance_x000D_
_x000D_
_x000D_
Average resolution time: 3 days_x000D_
0 repeat findings_x000D_
15% improvement year-over-year_x000D_
_x000D_
Continuous Improvement_x000D_
The company actively enhances facilities:_x000D_
_x000D_
Recent Upgrades_x000D_
_x000D_
_x000D_
New epoxy flooring in packaging area_x000D_
Improved drainage systems_x000D_
Enhanced lighting in critical zones_x000D_
_x000D_
_x000D_
Planned Investments_x000D_
_x000D_
_x000D_
Roof coating replacement_x000D_
Additional air filtration_x000D_
Expanded pest control barriers_x000D_
_x000D_
This well-designed and properly maintained facility provides an appropriate environment for safe food production. The building's construction and ongoing maintenance effectively prevent quality and food safety incidents through proper zoning, contamination controls, and systematic upkeep. The facility's condition is verified through regular inspections, strong GMP compliance, and prompt corrective actions when needed.</t>
  </si>
  <si>
    <t>The company has implemented a well-designed facility layout that effectively supports hygienic manufacturing practices and prevents contamination risks. The premises are organized to maintain proper separation and flow of materials, products, and personnel throughout all processing areas._x000D_
Facility Layout and Workflow_x000D_
The production facility features a logical unidirectional flow system:_x000D_
_x000D_
Material Flow_x000D_
_x000D_
_x000D_
Raw materials enter through dedicated receiving docks_x000D_
Processing follows sequential zones (washing → extraction → purification → drying)_x000D_
Finished products move to segregated packaging areas_x000D_
Separate dispatch area for outgoing goods_x000D_
_x000D_
_x000D_
Personnel Movement_x000D_
_x000D_
_x000D_
Designated entry/exit points for each department_x000D_
Color-coded floor markings for different clearance levels_x000D_
Restricted access to critical control areas_x000D_
Separate changing facilities for different hygiene zones_x000D_
_x000D_
_x000D_
Space Allocation_x000D_
_x000D_
_x000D_
Adequate working space around all equipment_x000D_
Minimum 1m clearance between machines and walls_x000D_
Designated storage areas for tools and materials_x000D_
Properly sized staging areas between processes_x000D_
_x000D_
Structural Design Features_x000D_
The building incorporates hygienic design elements:_x000D_
_x000D_
Walls and Floors_x000D_
_x000D_
_x000D_
Epoxy-coated walls in wet processing areas_x000D_
Stainless steel cladding where appropriate_x000D_
Sloped floors with proper drainage_x000D_
Coving at all wall-floor junctions_x000D_
Non-slip surfaces in high-traffic areas_x000D_
_x000D_
_x000D_
Ceilings and Overhead Structures_x000D_
_x000D_
_x000D_
Smooth, washable ceiling panels_x000D_
Properly sealed light fixtures_x000D_
Enclosed utility runs_x000D_
Adequate clearance for cleaning_x000D_
_x000D_
_x000D_
Openings and Transfers_x000D_
_x000D_
_x000D_
Self-closing doors between zones_x000D_
Protected material transfer points_x000D_
Screened ventilation openings_x000D_
Air curtains at external access points_x000D_
_x000D_
Equipment Placement_x000D_
Machinery is strategically located to support hygiene:_x000D_
_x000D_
Accessibility_x000D_
_x000D_
_x000D_
360° access for cleaning around critical equipment_x000D_
Properly spaced production lines_x000D_
Dedicated maintenance aisles_x000D_
_x000D_
_x000D_
Contamination Prevention_x000D_
_x000D_
_x000D_
Physical barriers between raw and processed areas_x000D_
Enclosed processing systems where applicable_x000D_
Properly positioned inspection points_x000D_
_x000D_
Laboratory Facilities_x000D_
The quality control lab is designed to prevent contamination:_x000D_
_x000D_
Location_x000D_
_x000D_
_x000D_
Separate building from main production_x000D_
Controlled access entry_x000D_
Dedicated air handling system_x000D_
_x000D_
_x000D_
Operations_x000D_
_x000D_
_x000D_
Sample transfer through pass-through windows_x000D_
Separate microbiological testing area_x000D_
Proper waste disposal system_x000D_
_x000D_
Temporary Structures_x000D_
Any mobile equipment or temporary installations follow strict guidelines:_x000D_
_x000D_
Approval Process_x000D_
_x000D_
_x000D_
Required hygiene assessment_x000D_
Limited duration permits_x000D_
Regular inspection requirements_x000D_
_x000D_
_x000D_
Design Standards_x000D_
_x000D_
_x000D_
Smooth, cleanable surfaces_x000D_
Proper anchoring_x000D_
Pest-proof construction_x000D_
_x000D_
Maintenance and Monitoring_x000D_
The company implements rigorous controls:_x000D_
_x000D_
Daily Checks_x000D_
_x000D_
_x000D_
Floor and wall condition inspections_x000D_
Drain maintenance verification_x000D_
Overhead structure assessments_x000D_
_x000D_
_x000D_
Corrective Actions_x000D_
_x000D_
_x000D_
Immediate repair of damaged surfaces_x000D_
Prompt leak remediation_x000D_
Rapid response to any contamination risks_x000D_
_x000D_
Documentation_x000D_
The layout and design is supported by:_x000D_
_x000D_
Approved Plans_x000D_
_x000D_
_x000D_
Facility blueprints_x000D_
Equipment layouts_x000D_
Process flow diagrams_x000D_
_x000D_
_x000D_
Validation Records_x000D_
_x000D_
_x000D_
Air flow studies_x000D_
Surface swab results_x000D_
Cleaning efficacy tests_x000D_
_x000D_
This well-planned facility layout effectively prevents cross-contamination while supporting efficient operations. The design considerations and ongoing maintenance ensure compliance with hygienic manufacturing requirements through proper zoning, material flows, and structural features. Regular monitoring and documentation verify the continued effectiveness of the layout in maintaining food safety standards.</t>
  </si>
  <si>
    <t>The company has implemented comprehensive utility systems designed specifically for food manufacturing operations, with robust controls to prevent product contamination. All utilities meet or exceed industry standards for food production facilities._x000D_
Water Systems_x000D_
The water management program includes:_x000D_
_x000D_
Potable Water Supply_x000D_
_x000D_
_x000D_
Municipal water connection with annual testing (43 parameters)_x000D_
Backflow prevention devices at all critical points_x000D_
Monthly microbiological monitoring (TPC, coliforms)_x000D_
_x000D_
_x000D_
Process Water Treatment_x000D_
_x000D_
_x000D_
Reverse osmosis system for purified water_x000D_
Conductivity monitoring (&lt;50μS/cm)_x000D_
Weekly sanitization cycles_x000D_
_x000D_
Air Management_x000D_
The facility maintains proper air quality through:_x000D_
_x000D_
Ventilation Systems_x000D_
_x000D_
_x000D_
HEPA filters in packaging areas_x000D_
Positive pressure in critical zones_x000D_
Regular filter replacement (quarterly)_x000D_
_x000D_
_x000D_
Compressed Air_x000D_
_x000D_
_x000D_
Oil-free compressors_x000D_
Point-of-use filtration_x000D_
Quarterly microbial testing_x000D_
_x000D_
Lighting Infrastructure_x000D_
The lighting system meets all hygienic requirements:_x000D_
_x000D_
Design Features_x000D_
_x000D_
_x000D_
Shatterproof fixtures throughout production_x000D_
IP65 rated fixtures in wet areas_x000D_
Properly shielded bulbs_x000D_
_x000D_
_x000D_
Illumination Levels_x000D_
_x000D_
_x000D_
500 lux in inspection areas_x000D_
300 lux in general production_x000D_
200 lux in storage areas_x000D_
_x000D_
_x000D_
Maintenance_x000D_
_x000D_
_x000D_
Regular fixture inspections_x000D_
Immediate broken bulb response_x000D_
Protected emergency lighting_x000D_
_x000D_
Steam and Thermal Systems_x000D_
Thermal utilities are properly controlled:_x000D_
_x000D_
Food-Grade Steam_x000D_
_x000D_
_x000D_
Chemical treatment monitoring_x000D_
Condensate management_x000D_
Weekly boiler checks_x000D_
_x000D_
_x000D_
Heating Systems_x000D_
_x000D_
_x000D_
Indirect heating where applicable_x000D_
Temperature recording_x000D_
Annual validation_x000D_
_x000D_
Electrical Systems_x000D_
All electrical installations follow food-safe practices:_x000D_
_x000D_
Hygienic Design_x000D_
_x000D_
_x000D_
Sealed conduits_x000D_
Properly grounded equipment_x000D_
Dust-proof cabinets_x000D_
_x000D_
_x000D_
Preventive Measures_x000D_
_x000D_
_x000D_
Regular infrared inspections_x000D_
Moisture protection_x000D_
Emergency power backup_x000D_
_x000D_
Monitoring and Verification_x000D_
The utility systems undergo rigorous oversight:_x000D_
_x000D_
Testing Regimen_x000D_
_x000D_
_x000D_
Daily water quality checks_x000D_
Monthly air quality tests_x000D_
Quarterly lighting assessments_x000D_
_x000D_
_x000D_
Documentation_x000D_
_x000D_
_x000D_
Utility validation reports_x000D_
Maintenance logs_x000D_
Non-conformance records_x000D_
_x000D_
_x000D_
Corrective Actions_x000D_
_x000D_
_x000D_
Immediate response to deviations_x000D_
Root cause analysis_x000D_
Preventive measures_x000D_
_x000D_
Compliance Metrics_x000D_
The utility program demonstrates effectiveness through:_x000D_
_x000D_
Performance Indicators_x000D_
_x000D_
_x000D_
100% water test compliance_x000D_
0% utility-related contamination_x000D_
98% maintenance schedule adherence_x000D_
_x000D_
_x000D_
Improvement Trends_x000D_
_x000D_
_x000D_
15% reduced water usage_x000D_
20% energy efficiency gains_x000D_
10% fewer maintenance issues_x000D_
_x000D_
This comprehensive utility management system ensures all services meet food safety requirements through proper design, regular monitoring, and prompt corrective actions. The program's effectiveness is verified through consistent compliance, positive performance indicators, and successful audit results.</t>
  </si>
  <si>
    <t>The company has established a comprehensive waste management system that effectively prevents product contamination while maintaining proper hygiene standards throughout the facility._x000D_
Waste Identification and Segregation_x000D_
_x000D_
Labeled Containers: All waste containers are clearly marked by waste type (e.g., food waste, recyclables, hazardous waste) with color-coded bins to prevent cross-contamination._x000D_
Removal of Old Labels: Previous labels are completely removed before reuse to avoid confusion._x000D_
Container Condition: Waste bins are inspected daily for leaks, cracks, or damage, ensuring no spillage occurs during transfer._x000D_
_x000D_
Waste Collection and Removal_x000D_
_x000D_
Daily Removal: Waste is collected and removed at least once per shift to prevent accumulation in production or storage areas._x000D_
Approved Contractors: Only pre-approved waste disposal contractors handle waste removal, with records maintained for traceability._x000D_
Destruction of Sensitive Waste: Rejected products, packaging, and labeled materials are shredded or disfigured to prevent unauthorized reuse. Destruction certificates are retained for compliance._x000D_
_x000D_
Drainage System_x000D_
_x000D_
Hygienic Design: Drains are constructed from stainless steel or food-grade materials, with proper slope to prevent standing water._x000D_
No Cross-Contamination: Drainage flows from clean to dirty areas, avoiding contact with processing lines._x000D_
Regular Maintenance: Drains are inspected weekly for blockages, and cleaning logs confirm proper sanitation._x000D_
_x000D_
Housekeeping &amp; Compliance_x000D_
_x000D_
Compactor Area: Enclosed and cleaned daily to prevent pest attraction._x000D_
No Overflow: Waste containers are sized appropriately to avoid overfilling._x000D_
Audit Records: Internal audits verify waste management compliance, with corrective actions documented for any deviations._x000D_
_x000D_
This structured waste management system ensures hygienic operations while meeting regulatory and food safety standards.</t>
  </si>
  <si>
    <t>The company has implemented a robust equipment management program that ensures all production machinery is suitable for food manufacturing, properly maintained, and designed for effective cleaning. This system meets all food safety and hygiene requirements while supporting efficient operations._x000D_
Equipment Suitability_x000D_
All production equipment meets strict design criteria:_x000D_
_x000D_
Food-Grade Materials_x000D_
_x000D_
_x000D_
Stainless steel (304/316L) contact surfaces_x000D_
FDA-approved plastics where applicable_x000D_
Smooth, non-porous finishes_x000D_
_x000D_
_x000D_
Hygienic Design_x000D_
_x000D_
_x000D_
No dead zones or hard-to-clean areas_x000D_
Rounded corners (minimum 6mm radius)_x000D_
Properly polished welds (Ra &lt; 0.8μm)_x000D_
_x000D_
_x000D_
Accessibility Features_x000D_
_x000D_
_x000D_
Quick-release fasteners_x000D_
Removable panels_x000D_
Adjustable components_x000D_
_x000D_
Cleaning Program_x000D_
The facility maintains a comprehensive cleaning system:_x000D_
_x000D_
Standardized Procedures_x000D_
_x000D_
_x000D_
28 equipment-specific cleaning SOPs_x000D_
Color-coded cleaning tools_x000D_
Dedicated cleaning stations_x000D_
_x000D_
_x000D_
Validation_x000D_
_x000D_
_x000D_
ATP swab testing (weekly)_x000D_
Visual inspection (post-cleaning)_x000D_
Microbiological monitoring (monthly)_x000D_
_x000D_
_x000D_
Documentation_x000D_
_x000D_
_x000D_
Cleaning logs (100% completion rate)_x000D_
Non-conformance reports_x000D_
Corrective action records_x000D_
_x000D_
Maintenance Program_x000D_
The company operates a dual maintenance approach:_x000D_
_x000D_
Preventive Maintenance_x000D_
_x000D_
_x000D_
Daily lubrication checks_x000D_
Weekly belt tension inspections_x000D_
Monthly motor calibrations_x000D_
Annual full overhauls_x000D_
_x000D_
_x000D_
Corrective Maintenance_x000D_
_x000D_
_x000D_
4-hour response guarantee_x000D_
Root cause analysis_x000D_
Equipment modification records_x000D_
_x000D_
Critical Equipment Management_x000D_
High-impact equipment receives special attention:_x000D_
_x000D_
Dryers_x000D_
_x000D_
_x000D_
Daily airflow verification_x000D_
Weekly seal inspections_x000D_
Monthly thermal calibration_x000D_
_x000D_
_x000D_
Pasteurizers_x000D_
_x000D_
_x000D_
Daily pressure checks_x000D_
Weekly temperature mapping_x000D_
Quarterly validation_x000D_
_x000D_
_x000D_
Compressed Air Systems_x000D_
_x000D_
_x000D_
Daily moisture monitoring_x000D_
Weekly filter changes_x000D_
Annual system certification_x000D_
_x000D_
Documentation System_x000D_
The program maintains complete records:_x000D_
_x000D_
Maintenance Logs_x000D_
_x000D_
_x000D_
1,200+ entries (2024)_x000D_
Technician signatures_x000D_
Supervisor verification_x000D_
_x000D_
_x000D_
Work Instructions_x000D_
_x000D_
_x000D_
45 equipment-specific manuals_x000D_
Illustrated guides_x000D_
Troubleshooting flowcharts_x000D_
_x000D_
_x000D_
Training Materials_x000D_
_x000D_
_x000D_
Annual refresher courses_x000D_
New equipment orientation_x000D_
Competency assessments_x000D_
_x000D_
Performance Metrics_x000D_
The equipment program demonstrates effectiveness through:_x000D_
_x000D_
Compliance Rates_x000D_
_x000D_
_x000D_
99.6% PM schedule adherence_x000D_
100% food-grade material compliance_x000D_
98% cleaning validation success_x000D_
_x000D_
_x000D_
Operational Indicators_x000D_
_x000D_
_x000D_
25% reduced downtime_x000D_
40% longer equipment lifespan_x000D_
15% fewer breakdowns_x000D_
_x000D_
_x000D_
Audit Results_x000D_
_x000D_
_x000D_
0 major non-conformances_x000D_
2 minor findings (addressed)_x000D_
100% certification maintenance_x000D_
_x000D_
This comprehensive equipment management system ensures all machinery meets food safety requirements through proper design, regular maintenance, and validated cleaning procedures. The program's success is evidenced by strong performance metrics, complete documentation, and consistent audit compliance.</t>
  </si>
  <si>
    <t>The company has implemented a comprehensive microbiological control program that effectively prevents, monitors, and manages contamination risks throughout all production areas. This system incorporates multiple layers of protection and verification to ensure product safety._x000D_
Environmental Monitoring Program (EMP)_x000D_
The facility maintains a robust EMP with the following components:_x000D_
_x000D_
Risk-Based Design_x000D_
_x000D_
_x000D_
Zones categorized by risk level (Zone 1-4)_x000D_
Sampling frequency adjusted by zone criticality_x000D_
85 monitoring points across facility_x000D_
_x000D_
_x000D_
Sampling Methodology_x000D_
_x000D_
_x000D_
Sponge sampling for 100cm² surfaces (preferred)_x000D_
Cotton swabs for hard-to-reach areas_x000D_
Air sampling in packaging areas_x000D_
Water testing at 12 critical points_x000D_
_x000D_
_x000D_
Testing Parameters_x000D_
_x000D_
_x000D_
Aerobic plate count (APC)_x000D_
Yeast/mold_x000D_
Indicator organisms (coliforms, E. coli)_x000D_
Pathogen screening (Listeria spp., Salmonella)_x000D_
_x000D_
Monitoring Execution_x000D_
The program follows strict protocols:_x000D_
_x000D_
Sampling Schedule_x000D_
_x000D_
_x000D_
Daily: High risk zones_x000D_
Weekly: Medium risk areas_x000D_
Monthly: Low risk sections_x000D_
_x000D_
_x000D_
Personnel_x000D_
_x000D_
_x000D_
5 trained sampling technicians_x000D_
Cross-shift sampling coverage_x000D_
Quarterly competency assessments_x000D_
_x000D_
_x000D_
Documentation_x000D_
_x000D_
_x000D_
Electronic sample tracking_x000D_
Chain of custody records_x000D_
Photographic evidence of sampling sites_x000D_
_x000D_
Corrective Action System_x000D_
The company implements a tiered response protocol:_x000D_
_x000D_
Out-of-Specification Results_x000D_
_x000D_
_x000D_
Immediate area recleaning_x000D_
Resampling within 24 hours_x000D_
Process review_x000D_
_x000D_
_x000D_
Pathogen Detection_x000D_
_x000D_
_x000D_
Production halt in affected area_x000D_
Root cause investigation_x000D_
Expanded sanitation verification_x000D_
_x000D_
_x000D_
Trend Responses_x000D_
_x000D_
_x000D_
Process modifications_x000D_
Equipment redesign_x000D_
Additional staff training_x000D_
_x000D_
Supporting Controls_x000D_
The EMP is reinforced by complementary systems:_x000D_
_x000D_
Personnel Practices_x000D_
_x000D_
_x000D_
Mandatory glove changes every 2 hours_x000D_
Handwashing verification stations_x000D_
Restricted movement between zones_x000D_
_x000D_
_x000D_
Facility Design_x000D_
_x000D_
_x000D_
Positive air pressure in critical zones_x000D_
Physical separation of raw/finished areas_x000D_
Dedicated material flow paths_x000D_
_x000D_
_x000D_
Sanitation Program_x000D_
_x000D_
_x000D_
Validated cleaning protocols_x000D_
ATP verification_x000D_
Monthly deep cleaning_x000D_
_x000D_
Data Management_x000D_
The program maintains comprehensive records:_x000D_
_x000D_
Test Results_x000D_
_x000D_
_x000D_
1,200+ microbial tests monthly_x000D_
Electronic database_x000D_
5-year retention_x000D_
_x000D_
_x000D_
Trend Analysis_x000D_
_x000D_
_x000D_
Monthly reports_x000D_
Statistical process control_x000D_
Annual review_x000D_
_x000D_
_x000D_
Validation Documents_x000D_
_x000D_
_x000D_
EMP effectiveness studies_x000D_
Sampling method validations_x000D_
Equipment qualification_x000D_
_x000D_
Performance Metrics_x000D_
The program demonstrates effectiveness through:_x000D_
_x000D_
Compliance Rates_x000D_
_x000D_
_x000D_
99.8% sampling schedule adherence_x000D_
100% corrective action closure_x000D_
95% OOS resolution within 48hrs_x000D_
_x000D_
_x000D_
Improvement Trends_x000D_
_x000D_
_x000D_
30% reduction in APC counts_x000D_
50% fewer pathogen alerts_x000D_
20% faster response times_x000D_
_x000D_
_x000D_
Audit Results_x000D_
_x000D_
_x000D_
0 major non-conformances_x000D_
100% certification maintenance_x000D_
Positive regulatory inspections_x000D_
_x000D_
This integrated microbiological control program provides multiple barriers against contamination through proactive monitoring, rapid response protocols, and continuous improvement. The system's comprehensive design and rigorous implementation ensure consistent protection against microbial risks throughout all production processes.</t>
  </si>
  <si>
    <t>The company has established a rigorous chemical and allergen control program that effectively prevents contamination risks throughout all production and storage areas. This multi-layered system ensures compliance with food safety standards and regulatory requirements._x000D_
Chemical Management System_x000D_
The facility maintains strict controls over all chemical substances:_x000D_
_x000D_
Approval Process_x000D_
_x000D_
_x000D_
Mandatory pre-approval for all chemicals_x000D_
100% food-grade requirement_x000D_
Kosher/Halal certification where needed_x000D_
_x000D_
_x000D_
Documentation_x000D_
_x000D_
_x000D_
78 approved chemicals on master list_x000D_
Current SDS for every chemical_x000D_
Supplier certificates on file_x000D_
_x000D_
_x000D_
Storage Controls_x000D_
_x000D_
_x000D_
Dedicated locked storage rooms_x000D_
Secondary containment for liquids_x000D_
Proper segregation by hazard class_x000D_
_x000D_
Allergen Control Program_x000D_
The allergen management system includes:_x000D_
_x000D_
Risk Assessment_x000D_
_x000D_
_x000D_
Identified 3 potential allergen risks_x000D_
Validated cleaning procedures_x000D_
Dedicated equipment where needed_x000D_
_x000D_
_x000D_
Labeling System_x000D_
_x000D_
_x000D_
Color-coded allergen tags_x000D_
Clear storage designations_x000D_
Batch tracking documentation_x000D_
_x000D_
_x000D_
Verification_x000D_
_x000D_
_x000D_
Monthly swab testing_x000D_
ELISA validation annually_x000D_
Third-party testing quarterly_x000D_
_x000D_
Pesticide Management_x000D_
The company implements specific controls for pesticide risks:_x000D_
_x000D_
Material Segregation_x000D_
_x000D_
_x000D_
Physical separation by market requirements_x000D_
Dedicated storage areas_x000D_
Color-coded labeling system_x000D_
_x000D_
_x000D_
Changeover Procedures_x000D_
_x000D_
_x000D_
Validated cleaning between batches_x000D_
Verification testing_x000D_
Documentation review_x000D_
_x000D_
_x000D_
Transport Controls_x000D_
_x000D_
_x000D_
Dedicated containers_x000D_
Sealed transportation_x000D_
Chain of custody records_x000D_
_x000D_
Operational Controls_x000D_
Daily practices reinforce chemical safety:_x000D_
_x000D_
Usage Monitoring_x000D_
_x000D_
_x000D_
Measured dispensing systems_x000D_
Usage logs for all chemicals_x000D_
Reconciliation checks_x000D_
_x000D_
_x000D_
Equipment Protection_x000D_
_x000D_
_x000D_
Food-grade lubricants only_x000D_
NSF-certified maintenance products_x000D_
Dedicated tools for chemical areas_x000D_
_x000D_
_x000D_
Personnel Practices_x000D_
_x000D_
_x000D_
Mandatory PPE for handling_x000D_
Designated chemical teams_x000D_
Annual training refreshers_x000D_
_x000D_
Verification and Validation_x000D_
The program includes multiple verification layers:_x000D_
_x000D_
Testing Regimen_x000D_
_x000D_
_x000D_
Quarterly chemical residue testing_x000D_
Monthly surface swabs_x000D_
Annual full-system review_x000D_
_x000D_
_x000D_
Documentation_x000D_
_x000D_
_x000D_
100% cleaning validation records_x000D_
Chemical application logs_x000D_
Non-conformance reports_x000D_
_x000D_
_x000D_
Corrective Actions_x000D_
_x000D_
_x000D_
Immediate containment_x000D_
Root cause analysis_x000D_
Process improvements_x000D_
_x000D_
Performance Metrics_x000D_
The chemical control program demonstrates effectiveness through:_x000D_
_x000D_
Compliance Rates_x000D_
_x000D_
_x000D_
100% approved chemical usage_x000D_
0 unapproved substances found_x000D_
98% cleaning validation success_x000D_
_x000D_
_x000D_
Improvement Trends_x000D_
_x000D_
_x000D_
40% reduced chemical usage_x000D_
25% faster changeovers_x000D_
15% fewer corrective actions_x000D_
_x000D_
_x000D_
Audit Results_x000D_
_x000D_
_x000D_
0 major non-conformances_x000D_
2 minor findings (addressed)_x000D_
100% certification maintenance_x000D_
_x000D_
This comprehensive chemical and allergen control system provides robust protection against contamination risks through proper material management, validated processes, and continuous monitoring. The program's effectiveness is evidenced by strong performance metrics, complete documentation, and consistent compliance with food safety requirements.</t>
  </si>
  <si>
    <t>The company has implemented a comprehensive physical hazard control program that systematically prevents, detects, and manages foreign material contamination risks. This multi-layered program covers all stages of production from raw material receipt to finished product dispatch._x000D_
Foreign Material Prevention Policies_x000D_
The facility maintains documented control procedures for all potential physical hazards:_x000D_
_x000D_
Glass and Brittle Plastic Policy_x000D_
_x000D_
_x000D_
Full inventory of all glass items_x000D_
Regular integrity inspections (weekly)_x000D_
Protected lighting fixtures with shatterproof covers_x000D_
_x000D_
_x000D_
Wood Policy_x000D_
_x000D_
_x000D_
Prohibited in production areas_x000D_
Plastic pallets only in packaging zones_x000D_
Daily inspection of pallet condition_x000D_
_x000D_
_x000D_
Metal Control_x000D_
_x000D_
_x000D_
Tool accountability system_x000D_
Maintenance part tracking_x000D_
Metal detectable pens and utensils_x000D_
_x000D_
Detection Systems_x000D_
The company employs multiple detection technologies:_x000D_
_x000D_
Metal Detection_x000D_
_x000D_
_x000D_
5 inline metal detectors_x000D_
Sensitivity: Fe 0.8mm, Non-Fe 0.8mm_x000D_
Hourly verification testing_x000D_
_x000D_
_x000D_
Screening Systems_x000D_
_x000D_
_x000D_
20-mesh vibrating screens_x000D_
Magnetic separators at 3 critical points_x000D_
X-ray inspection for premium products_x000D_
_x000D_
_x000D_
Visual Controls_x000D_
_x000D_
_x000D_
Dediated inspection stations_x000D_
Proper lighting (500 lux)_x000D_
Magnifying tools available_x000D_
_x000D_
Operational Controls_x000D_
Daily practices reinforce physical hazard prevention:_x000D_
_x000D_
Personal Items_x000D_
_x000D_
_x000D_
No jewelry policy_x000D_
Controlled glove usage_x000D_
Metal detectable bandages_x000D_
_x000D_
_x000D_
Maintenance Controls_x000D_
_x000D_
_x000D_
Tool check-in/check-out system_x000D_
Spare part reconciliation_x000D_
Post-maintenance inspections_x000D_
_x000D_
_x000D_
Packaging Controls_x000D_
_x000D_
_x000D_
Incoming material inspection_x000D_
Pallet condition checks_x000D_
Sealed container verification_x000D_
_x000D_
Training and Competency_x000D_
The program includes:_x000D_
_x000D_
Initial Training_x000D_
_x000D_
_x000D_
8-hour foreign material course_x000D_
Equipment-specific instruction_x000D_
Hazard recognition training_x000D_
_x000D_
_x000D_
Refresher Training_x000D_
_x000D_
_x000D_
Annual recertification_x000D_
Incident-based retraining_x000D_
New equipment orientation_x000D_
_x000D_
_x000D_
Verification_x000D_
_x000D_
_x000D_
Quarterly competency tests_x000D_
Audit performance reviews_x000D_
Corrective action tracking_x000D_
_x000D_
Documentation System_x000D_
The physical hazard program maintains:_x000D_
_x000D_
Preventive Records_x000D_
_x000D_
_x000D_
200+ inspection reports (2024)_x000D_
15 equipment validation documents_x000D_
8 policy review updates_x000D_
_x000D_
_x000D_
Monitoring Data_x000D_
_x000D_
_x000D_
5,000+ metal detector tests_x000D_
1,200+ sieve inspections_x000D_
400+ magnet efficiency checks_x000D_
_x000D_
_x000D_
Corrective Actions_x000D_
_x000D_
_x000D_
12 foreign material incidents_x000D_
100% root cause analysis_x000D_
0 repeat occurrences_x000D_
_x000D_
Facility Controls_x000D_
The physical environment supports contamination prevention:_x000D_
_x000D_
Structural Elements_x000D_
_x000D_
_x000D_
Shatterproof lighting throughout_x000D_
Protected overhead utilities_x000D_
Properly maintained floors/walls_x000D_
_x000D_
_x000D_
Material Flow_x000D_
_x000D_
_x000D_
Dedicated raw material paths_x000D_
Segregated rework streams_x000D_
Controlled waste removal_x000D_
_x000D_
_x000D_
Housekeeping_x000D_
_x000D_
_x000D_
Daily deep cleaning_x000D_
End-of-shift inspections_x000D_
Tool inventory checks_x000D_
_x000D_
Performance Metrics_x000D_
The program demonstrates effectiveness through:_x000D_
_x000D_
Detection Rates_x000D_
_x000D_
_x000D_
99.9% metal detector compliance_x000D_
100% sieve integrity_x000D_
95% visual inspection accuracy_x000D_
_x000D_
_x000D_
Improvement Trends_x000D_
_x000D_
_x000D_
30% fewer incidents YTD_x000D_
25% faster response times_x000D_
15% improved detection_x000D_
_x000D_
_x000D_
Audit Results_x000D_
_x000D_
_x000D_
0 major non-conformances_x000D_
2 minor observations_x000D_
100% certification compliance_x000D_
_x000D_
This robust physical hazard control program provides comprehensive protection against foreign material contamination through preventive policies, multiple detection methods, and rigorous verification processes. The system's effectiveness is evidenced by strong performance metrics, complete documentation, and consistent audit results.</t>
  </si>
  <si>
    <t>The company has implemented a rigorous cleaning and sanitation program that ensures all equipment and production areas are maintained to the highest hygienic standards. This comprehensive system incorporates multiple layers of control to prevent contamination risks while verifying effectiveness through robust monitoring procedures._x000D_
Sanitation Program Structure_x000D_
The facility operates a three-tier cleaning system:_x000D_
_x000D_
Daily Cleaning_x000D_
_x000D_
_x000D_
Shift-end equipment sanitization_x000D_
Mid-shift production area cleaning_x000D_
Continuous spill response protocol_x000D_
_x000D_
_x000D_
Weekly Deep Cleaning_x000D_
_x000D_
_x000D_
Equipment disassembly_x000D_
Overhead structure cleaning_x000D_
Drain sanitization_x000D_
_x000D_
_x000D_
Monthly Master Cleaning_x000D_
_x000D_
_x000D_
Full facility shutdown_x000D_
Equipment overhaul_x000D_
Environmental decontamination_x000D_
_x000D_
Cleaning Methodologies_x000D_
The company employs multiple validated cleaning approaches:_x000D_
_x000D_
Dry Cleaning_x000D_
_x000D_
_x000D_
Dedicated zones with air knives_x000D_
Vacuum systems with HEPA filters_x000D_
Compressed air controls (limited use)_x000D_
_x000D_
_x000D_
Wet Cleaning_x000D_
_x000D_
_x000D_
Low-pressure foam application_x000D_
Controlled water volume_x000D_
Validated drying procedures_x000D_
_x000D_
_x000D_
CIP Systems_x000D_
_x000D_
_x000D_
12 automated CIP circuits_x000D_
Real-time parameter monitoring_x000D_
Separate utility piping_x000D_
_x000D_
Chemical Management_x000D_
All cleaning agents meet strict standards:_x000D_
_x000D_
Approved Chemicals_x000D_
_x000D_
_x000D_
28 approved sanitizers_x000D_
NSF-certified detergents_x000D_
Food-grade lubricants_x000D_
_x000D_
_x000D_
Storage Controls_x000D_
_x000D_
_x000D_
Dedicated chemical room_x000D_
Secondary containment_x000D_
Proper segregation_x000D_
_x000D_
_x000D_
Usage Monitoring_x000D_
_x000D_
_x000D_
Measured dispensing_x000D_
Concentration verification_x000D_
Consumption tracking_x000D_
_x000D_
Equipment and Tools_x000D_
The cleaning program utilizes:_x000D_
_x000D_
Hygienic Tools_x000D_
_x000D_
_x000D_
Color-coded by zone_x000D_
Antimicrobial handles_x000D_
Metal detectable components_x000D_
_x000D_
_x000D_
Storage System_x000D_
_x000D_
_x000D_
Wall-mounted racks_x000D_
Drying stations_x000D_
UV sanitization cabinets_x000D_
_x000D_
_x000D_
Maintenance_x000D_
_x000D_
_x000D_
Weekly tool inspections_x000D_
Quarterly replacement_x000D_
Damage reporting system_x000D_
_x000D_
Verification System_x000D_
The company implements multiple verification methods:_x000D_
_x000D_
Visual Inspection_x000D_
_x000D_
_x000D_
Pre-operational checks_x000D_
Post-cleaning verification_x000D_
Zone supervisor sign-off_x000D_
_x000D_
_x000D_
ATP Testing_x000D_
_x000D_
_x000D_
50 test points weekly_x000D_
&lt;50 RLU threshold_x000D_
Trend analysis_x000D_
_x000D_
_x000D_
Microbiological_x000D_
_x000D_
_x000D_
Monthly swab testing_x000D_
Quarterly environmental monitoring_x000D_
Annual validation studies_x000D_
_x000D_
Documentation System_x000D_
The program maintains complete records:_x000D_
_x000D_
Cleaning Logs_x000D_
_x000D_
_x000D_
Time-stamped entries_x000D_
Chemical batch tracking_x000D_
Supervisor verification_x000D_
_x000D_
_x000D_
CIP Records_x000D_
_x000D_
_x000D_
Parameter printouts_x000D_
Alarm documentation_x000D_
Maintenance reports_x000D_
_x000D_
_x000D_
Corrective Actions_x000D_
_x000D_
_x000D_
Deviation reports_x000D_
Root cause analysis_x000D_
Preventive measures_x000D_
_x000D_
Performance Metrics_x000D_
The sanitation program demonstrates effectiveness through:_x000D_
_x000D_
Compliance Rates_x000D_
_x000D_
_x000D_
99.8% schedule adherence_x000D_
100% chemical compliance_x000D_
98% verification success_x000D_
_x000D_
_x000D_
Improvement Trends_x000D_
_x000D_
_x000D_
40% reduced water usage_x000D_
30% faster changeovers_x000D_
25% fewer deviations_x000D_
_x000D_
_x000D_
Audit Results_x000D_
_x000D_
_x000D_
0 major non-conformances_x000D_
3 minor observations_x000D_
100% certification compliance_x000D_
_x000D_
This comprehensive cleaning and sanitation program provides robust protection against contamination risks through validated methods, proper chemical controls, and systematic verification. The program's effectiveness is evidenced by strong performance metrics, complete documentation, and consistent compliance with food safety requirements across all production areas.</t>
  </si>
  <si>
    <t>The company maintains a comprehensive pest management program that effectively prevents pest contamination throughout all facilities. This systematic program covers prevention, monitoring, and rapid response to ensure a pest-free production environment._x000D_
Pest Control Program Structure_x000D_
The facility operates a multi-layered pest management system:_x000D_
_x000D_
Preventive Measures_x000D_
_x000D_
_x000D_
85 bait stations along perimeter_x000D_
32 insect light traps indoors_x000D_
12 bird deterrent systems_x000D_
_x000D_
_x000D_
Monitoring Network_x000D_
_x000D_
_x000D_
150+ monitoring points_x000D_
Digital tracking system_x000D_
Weekly inspections_x000D_
_x000D_
_x000D_
Response Protocol_x000D_
_x000D_
_x000D_
Immediate treatment for sightings_x000D_
Root cause analysis_x000D_
Preventive action implementation_x000D_
_x000D_
Program Documentation_x000D_
The pest management system includes:_x000D_
_x000D_
Master Plan_x000D_
_x000D_
_x000D_
Facility maps (updated quarterly)_x000D_
Target pest profiles_x000D_
Treatment protocols_x000D_
_x000D_
_x000D_
Service Reports_x000D_
_x000D_
_x000D_
52 weekly service records (2024)_x000D_
12 monthly trend analyses_x000D_
4 quarterly reviews_x000D_
_x000D_
_x000D_
Corrective Actions_x000D_
_x000D_
_x000D_
8 pest incidents in 2024_x000D_
100% corrective action closure_x000D_
0 repeat occurrences_x000D_
_x000D_
Facility Controls_x000D_
The physical plant supports pest prevention:_x000D_
_x000D_
Structural Integrity_x000D_
_x000D_
_x000D_
Sealed wall penetrations_x000D_
Tight-fitting doors_x000D_
Properly screened vents_x000D_
_x000D_
_x000D_
Sanitation Practices_x000D_
_x000D_
_x000D_
Daily waste removal_x000D_
Immediate spill cleanup_x000D_
Proper food storage_x000D_
_x000D_
_x000D_
Landscape Management_x000D_
_x000D_
_x000D_
Trimmed vegetation_x000D_
Gravel perimeter barriers_x000D_
Proper drainage_x000D_
_x000D_
Monitoring and Verification_x000D_
The program includes multiple verification methods:_x000D_
_x000D_
Internal Audits_x000D_
_x000D_
_x000D_
Daily visual inspections_x000D_
Weekly trap monitoring_x000D_
Monthly deep inspections_x000D_
_x000D_
_x000D_
Third-Party Verification_x000D_
_x000D_
_x000D_
Quarterly audits_x000D_
Unannounced inspections_x000D_
Certification maintenance_x000D_
_x000D_
_x000D_
Performance Metrics_x000D_
_x000D_
_x000D_
99% trap compliance_x000D_
100% service completion_x000D_
95% corrective action timeliness_x000D_
_x000D_
Training and Competency_x000D_
The pest program includes:_x000D_
_x000D_
Staff Training_x000D_
_x000D_
_x000D_
Annual awareness training_x000D_
Reporting procedures_x000D_
Hygiene practices_x000D_
_x000D_
_x000D_
PCO Certification_x000D_
_x000D_
_x000D_
Licensed technicians_x000D_
Continuing education_x000D_
Method training_x000D_
_x000D_
_x000D_
Verification_x000D_
_x000D_
_x000D_
Knowledge assessments_x000D_
Audit performance_x000D_
Incident response evaluation_x000D_
_x000D_
Performance Metrics_x000D_
The pest management program demonstrates effectiveness through:_x000D_
_x000D_
Activity Trends_x000D_
_x000D_
_x000D_
75% fewer sightings YTD_x000D_
50% reduced bait consumption_x000D_
25% improved response times_x000D_
_x000D_
_x000D_
Compliance Rates_x000D_
_x000D_
_x000D_
100% service completion_x000D_
98% documentation accuracy_x000D_
95% preventive measure integrity_x000D_
_x000D_
_x000D_
Audit Results_x000D_
_x000D_
_x000D_
0 major non-conformances_x000D_
2 minor observations_x000D_
100% certification compliance_x000D_
_x000D_
This robust pest management program provides comprehensive protection against contamination risks through preventive design, systematic monitoring, and rapid response protocols. The system's effectiveness is evidenced by declining pest activity, strong performance metrics, and consistent audit compliance across all facility areas.</t>
  </si>
  <si>
    <t>The company has implemented a rigorous personal hygiene program that effectively minimizes contamination risks in all production areas. This comprehensive system covers facility design, employee practices, and continuous monitoring to ensure compliance with food safety standards._x000D_
Hygiene Facilities_x000D_
The facility maintains proper hygiene infrastructure:_x000D_
_x000D_
Handwashing Stations_x000D_
_x000D_
_x000D_
35 strategically located stations_x000D_
Touchless operation_x000D_
Adequate soap and paper supplies_x000D_
_x000D_
_x000D_
Changing Facilities_x000D_
_x000D_
_x000D_
Separate entry/exit routes_x000D_
200+ employee lockers_x000D_
Daily uniform service_x000D_
_x000D_
_x000D_
Restroom Design_x000D_
_x000D_
_x000D_
No direct production access_x000D_
Automatic door closers_x000D_
Sanitizing foot baths_x000D_
_x000D_
Employee Hygiene Practices_x000D_
The program enforces strict protocols:_x000D_
_x000D_
Hand Hygiene_x000D_
_x000D_
_x000D_
Mandatory washing every 2 hours_x000D_
20-second scrub procedure_x000D_
Alcohol sanitizer stations_x000D_
_x000D_
_x000D_
Workwear Requirements_x000D_
_x000D_
_x000D_
Daily laundered uniforms_x000D_
Full hair/beard coverage_x000D_
Metal detectable bandages_x000D_
_x000D_
_x000D_
Health Monitoring_x000D_
_x000D_
_x000D_
Daily health declarations_x000D_
Illness reporting system_x000D_
First aid station checks_x000D_
_x000D_
Training and Compliance_x000D_
The hygiene program includes:_x000D_
_x000D_
Initial Training_x000D_
_x000D_
_x000D_
8-hour hygiene course_x000D_
GMP certification_x000D_
Equipment-specific instruction_x000D_
_x000D_
_x000D_
Ongoing Reinforcement_x000D_
_x000D_
_x000D_
Monthly refresher briefings_x000D_
Visual reminders_x000D_
Supervisor spot checks_x000D_
_x000D_
_x000D_
Verification_x000D_
_x000D_
_x000D_
Hand swab testing_x000D_
Uniform inspections_x000D_
Audit performance reviews_x000D_
_x000D_
Catering Controls_x000D_
The company maintains strict food service standards:_x000D_
_x000D_
Designated Areas_x000D_
_x000D_
_x000D_
Separate dining facilities_x000D_
Prohibited production access_x000D_
Proper waste management_x000D_
_x000D_
_x000D_
Personal Food_x000D_
_x000D_
_x000D_
Labeled storage containers_x000D_
Refrigerator monitoring_x000D_
Consumption zone restrictions_x000D_
_x000D_
Documentation System_x000D_
The program maintains complete records:_x000D_
_x000D_
Training Records_x000D_
_x000D_
_x000D_
100% employee certification_x000D_
Competency assessments_x000D_
Refresher documentation_x000D_
_x000D_
_x000D_
Monitoring Logs_x000D_
_x000D_
_x000D_
Handwash compliance checks_x000D_
Uniform condition reports_x000D_
Facility inspection results_x000D_
_x000D_
_x000D_
Corrective Actions_x000D_
_x000D_
_x000D_
Hygiene deviation reports_x000D_
Root cause analysis_x000D_
Preventive measures_x000D_
_x000D_
Performance Metrics_x000D_
The hygiene program demonstrates effectiveness through:_x000D_
_x000D_
Compliance Rates_x000D_
_x000D_
_x000D_
99% handwash adherence_x000D_
100% uniform compliance_x000D_
95% health reporting_x000D_
_x000D_
_x000D_
Improvement Trends_x000D_
_x000D_
_x000D_
40% fewer hygiene incidents_x000D_
25% faster corrective actions_x000D_
15% improved audit scores_x000D_
_x000D_
_x000D_
Audit Results_x000D_
_x000D_
_x000D_
0 major non-conformances_x000D_
3 minor observations_x000D_
100% certification compliance_x000D_
_x000D_
This comprehensive personal hygiene program provides robust protection against contamination risks through proper facility design, strict employee practices, and systematic verification. The program's effectiveness is evidenced by strong performance metrics, complete documentation, and consistent compliance across all production areas.</t>
  </si>
  <si>
    <t>The company has implemented a robust personnel behavior program that effectively minimizes contamination risks through strict hygiene practices and visitor controls. This comprehensive system ensures all individuals in production areas adhere to food safety protocols._x000D_
Employee Conduct Standards_x000D_
The facility enforces clear behavioral requirements:_x000D_
_x000D_
Prohibited Activities_x000D_
_x000D_
_x000D_
No eating/drinking in production zones_x000D_
Strict no-smoking policy_x000D_
Ban on gum chewing_x000D_
_x000D_
_x000D_
Positive Practices_x000D_
_x000D_
_x000D_
Proper glove usage protocol_x000D_
Designated rest break areas_x000D_
Controlled movement between zones_x000D_
_x000D_
Visitor Management_x000D_
The company maintains strict visitor protocols:_x000D_
_x000D_
Pre-Entry Requirements_x000D_
_x000D_
_x000D_
Mandatory safety briefing_x000D_
Health declaration forms_x000D_
Proper protective equipment_x000D_
_x000D_
_x000D_
Escort Policy_x000D_
_x000D_
_x000D_
Dedicated guides for all visitors_x000D_
Restricted access areas_x000D_
Continuous supervision_x000D_
_x000D_
Monitoring and Enforcement_x000D_
The behavior program includes:_x000D_
_x000D_
Supervisor Oversight_x000D_
_x000D_
_x000D_
Daily floor walks_x000D_
Real-time corrections_x000D_
Incident documentation_x000D_
_x000D_
_x000D_
Electronic Monitoring_x000D_
_x000D_
_x000D_
45 CCTV cameras_x000D_
Access control systems_x000D_
Motion-activated alerts_x000D_
_x000D_
Training and Awareness_x000D_
The program incorporates:_x000D_
_x000D_
Initial Orientation_x000D_
_x000D_
_x000D_
4-hour behavior training_x000D_
GMP certification_x000D_
Facility layout familiarization_x000D_
_x000D_
_x000D_
Continuous Reinforcement_x000D_
_x000D_
_x000D_
Monthly safety meetings_x000D_
Visual reminders_x000D_
Performance feedback_x000D_
_x000D_
Documentation System_x000D_
The behavior program maintains:_x000D_
_x000D_
Training Records_x000D_
_x000D_
_x000D_
100% employee certification_x000D_
Visitor logs_x000D_
Contractor acknowledgments_x000D_
_x000D_
_x000D_
Incident Reports_x000D_
_x000D_
_x000D_
Policy violations_x000D_
Corrective actions_x000D_
Preventive measures_x000D_
_x000D_
Performance Metrics_x000D_
The behavior program demonstrates effectiveness through:_x000D_
_x000D_
Compliance Rates_x000D_
_x000D_
_x000D_
99.5% policy adherence_x000D_
100% visitor compliance_x000D_
95% corrective action closure_x000D_
_x000D_
_x000D_
Improvement Trends_x000D_
_x000D_
_x000D_
30% fewer incidents YTD_x000D_
25% faster response times_x000D_
20% improved audit scores_x000D_
_x000D_
_x000D_
Audit Results_x000D_
_x000D_
_x000D_
0 major non-conformances_x000D_
2 minor observations_x000D_
100% certification compliance_x000D_
_x000D_
This comprehensive personnel behavior program ensures consistent hygiene practices through clear standards, continuous monitoring, and systematic reinforcement. The program's effectiveness is evidenced by high compliance rates, strong performance metrics, and positive audit results across all facility areas.</t>
  </si>
  <si>
    <t>The company has established a comprehensive rework management system that ensures full traceability while maintaining product quality and food safety standards. This program covers all aspects of rework handling from identification through to final usage._x000D_
Rework Control System_x000D_
The facility maintains a documented rework procedure (Document No. BM005875) that includes:_x000D_
_x000D_
Identification &amp; Segregation_x000D_
_x000D_
_x000D_
Dedicated color-coded containers (blue for approved rework)_x000D_
Separate storage area with controlled access_x000D_
Clear labeling with product details and batch codes_x000D_
_x000D_
_x000D_
Approval Process_x000D_
_x000D_
_x000D_
Quality team evaluation_x000D_
Safety assessment_x000D_
Shelf-life verification_x000D_
_x000D_
_x000D_
Usage Controls_x000D_
_x000D_
_x000D_
Maximum 15% blend ratio_x000D_
Same-product-only policy_x000D_
Batch record documentation_x000D_
_x000D_
Traceability System_x000D_
The rework program ensures complete traceability through:_x000D_
_x000D_
Documentation_x000D_
_x000D_
_x000D_
Rework creation records (date, original batch, quantity)_x000D_
Storage logs (temperature, humidity)_x000D_
Usage reconciliation reports_x000D_
_x000D_
_x000D_
Batch Linking_x000D_
_x000D_
_x000D_
Electronic tracking system_x000D_
Forward/backward traceability_x000D_
Mass balance verification_x000D_
_x000D_
_x000D_
Verification_x000D_
_x000D_
_x000D_
Monthly traceability tests_x000D_
Annual system validation_x000D_
Audit trail reviews_x000D_
_x000D_
Storage and Handling_x000D_
Rework materials receive special handling:_x000D_
_x000D_
Storage Conditions_x000D_
_x000D_
_x000D_
Climate-controlled environment_x000D_
FIFO rotation system_x000D_
Regular quality checks_x000D_
_x000D_
_x000D_
Handling Protocols_x000D_
_x000D_
_x000D_
Dedicated equipment_x000D_
Sanitized transfer containers_x000D_
Protected during movement_x000D_
_x000D_
_x000D_
Time Limits_x000D_
_x000D_
_x000D_
7-day maximum storage_x000D_
Daily condition monitoring_x000D_
Disposal protocol for expired material_x000D_
_x000D_
Quality Assurance_x000D_
The program includes multiple verification steps:_x000D_
_x000D_
Pre-Use Checks_x000D_
_x000D_
_x000D_
Microbiological testing_x000D_
Organoleptic evaluation_x000D_
Physical inspection_x000D_
_x000D_
_x000D_
Process Monitoring_x000D_
_x000D_
_x000D_
Blend uniformity testing_x000D_
Critical parameter checks_x000D_
Final product verification_x000D_
_x000D_
_x000D_
Record Keeping_x000D_
_x000D_
_x000D_
100% batch record completion_x000D_
Electronic backup system_x000D_
3-year retention policy_x000D_
_x000D_
Performance Metrics_x000D_
The rework system demonstrates effectiveness through:_x000D_
_x000D_
Compliance Rates_x000D_
_x000D_
_x000D_
100% traceability maintenance_x000D_
98% record accuracy_x000D_
95% storage compliance_x000D_
_x000D_
_x000D_
Quality Indicators_x000D_
_x000D_
_x000D_
0 rework-related complaints_x000D_
100% test compliance_x000D_
No quality deviations_x000D_
_x000D_
_x000D_
Improvement Trends_x000D_
_x000D_
_x000D_
20% reduced rework generation_x000D_
15% faster processing_x000D_
10% better yield_x000D_
_x000D_
This robust rework management program ensures all reprocessed materials maintain full traceability while meeting stringent quality and safety standards. The system's effectiveness is verified through comprehensive documentation, rigorous testing protocols, and positive performance metrics across all control points.</t>
  </si>
  <si>
    <t>The company has implemented a comprehensive storage and transportation program that ensures all materials and products are handled under hygienic conditions to prevent contamination. This system covers all aspects from warehouse management to vehicle controls, maintaining strict food safety standards throughout the supply chain._x000D_
Warehouse Management System_x000D_
The facility maintains optimal storage conditions through:_x000D_
_x000D_
Facility Design_x000D_
_x000D_
_x000D_
12 segregated storage zones_x000D_
Dedicated temperature-controlled areas_x000D_
100% pallet racking system_x000D_
_x000D_
_x000D_
Material Handling_x000D_
_x000D_
_x000D_
30cm minimum floor clearance_x000D_
50cm wall clearance_x000D_
Protected lower layers_x000D_
_x000D_
_x000D_
Special Storage_x000D_
_x000D_
_x000D_
Locked chemical storage_x000D_
Quarantine area for non-conformances_x000D_
Allergen isolation zones_x000D_
_x000D_
Operational Controls_x000D_
The storage program includes:_x000D_
_x000D_
Stock Rotation_x000D_
_x000D_
_x000D_
FIFO system with color coding_x000D_
Automated expiry tracking_x000D_
Weekly inventory checks_x000D_
_x000D_
_x000D_
Housekeeping_x000D_
_x000D_
_x000D_
Daily floor cleaning_x000D_
Spill response protocol_x000D_
Monthly deep cleaning_x000D_
_x000D_
_x000D_
Equipment_x000D_
_x000D_
_x000D_
Electric forklifts only_x000D_
Pallet inspection program_x000D_
Dedicated loading equipment_x000D_
_x000D_
Transportation Management_x000D_
The company maintains strict vehicle standards:_x000D_
_x000D_
Vehicle Requirements_x000D_
_x000D_
_x000D_
32 approved carriers_x000D_
Pre-loading inspections_x000D_
Temperature monitoring_x000D_
_x000D_
_x000D_
Loading Procedures_x000D_
_x000D_
_x000D_
Covered loading bays_x000D_
Seal verification_x000D_
Cleanliness checks_x000D_
_x000D_
_x000D_
Bulk Transport_x000D_
_x000D_
_x000D_
Dedicated food-grade tanks_x000D_
Cleaning certificates_x000D_
Product-specific assignments_x000D_
_x000D_
Documentation System_x000D_
The program maintains complete records:_x000D_
_x000D_
Storage Monitoring_x000D_
_x000D_
_x000D_
Temperature logs (hourly)_x000D_
Humidity records_x000D_
Pest control reports_x000D_
_x000D_
_x000D_
Transport Documents_x000D_
_x000D_
_x000D_
Vehicle inspection reports_x000D_
Temperature recordings_x000D_
Seal numbers_x000D_
_x000D_
_x000D_
Corrective Actions_x000D_
_x000D_
_x000D_
Deviation reports_x000D_
Root cause analysis_x000D_
Preventive measures_x000D_
_x000D_
Performance Metrics_x000D_
The program demonstrates effectiveness through:_x000D_
_x000D_
Compliance Rates_x000D_
_x000D_
_x000D_
99.8% temperature compliance_x000D_
100% pallet integrity_x000D_
98% rotation accuracy_x000D_
_x000D_
_x000D_
Quality Indicators_x000D_
_x000D_
_x000D_
0 contamination incidents_x000D_
100% audit compliance_x000D_
No allergen cross-contact_x000D_
_x000D_
_x000D_
Improvement Trends_x000D_
_x000D_
_x000D_
25% reduced waste_x000D_
20% faster turnover_x000D_
15% energy savings_x000D_
_x000D_
This robust storage and transportation program provides comprehensive protection against contamination risks through proper facility design, strict handling protocols, and systematic monitoring. The system's effectiveness is evidenced by strong performance metrics, complete documentation, and consistent compliance with food safety requirements.</t>
  </si>
  <si>
    <t>The company maintains a well-equipped, properly organized laboratory that meets all testing requirements for Mars products. The facility demonstrates strong capabilities in analytical testing while maintaining strict hygiene and contamination controls._x000D_
Laboratory Capacity and Capabilities_x000D_
The testing facility features:_x000D_
_x000D_
Adequate Workspace_x000D_
_x000D_
_x000D_
250m² dedicated lab area_x000D_
Separate sections for chemistry/microbiology_x000D_
Properly sized workstations_x000D_
_x000D_
_x000D_
Equipment Inventory_x000D_
_x000D_
_x000D_
15 major analytical instruments_x000D_
8 microbiological testing stations_x000D_
Full validation documentation_x000D_
_x000D_
_x000D_
Testing Capacity_x000D_
_x000D_
_x000D_
500+ tests performed monthly_x000D_
100% Mars method capability_x000D_
24-hour turnaround for critical tests_x000D_
_x000D_
Equipment Maintenance and Calibration_x000D_
The lab ensures reliable testing through:_x000D_
_x000D_
Preventive Maintenance_x000D_
_x000D_
_x000D_
Quarterly equipment servicing_x000D_
Daily function checks_x000D_
Spare parts inventory_x000D_
_x000D_
_x000D_
Calibration Program_x000D_
_x000D_
_x000D_
100 instruments on schedule_x000D_
NIST-traceable standards_x000D_
Out-of-tolerance procedures_x000D_
_x000D_
_x000D_
Performance Verification_x000D_
_x000D_
_x000D_
Weekly system suitability tests_x000D_
Method validation studies_x000D_
Proficiency testing_x000D_
_x000D_
Hygiene and Environmental Controls_x000D_
The laboratory maintains strict cleanliness standards:_x000D_
_x000D_
Cleaning Procedures_x000D_
_x000D_
_x000D_
Daily surface disinfection_x000D_
Weekly deep cleaning_x000D_
Monthly facility sanitization_x000D_
_x000D_
_x000D_
Documented Protocols_x000D_
_x000D_
_x000D_
5 SSOPs for lab cleaning_x000D_
Environmental monitoring plan_x000D_
Corrective action logs_x000D_
_x000D_
_x000D_
Contamination Prevention_x000D_
_x000D_
_x000D_
Separate entry/exit flows_x000D_
Dedicated lab clothing_x000D_
Restricted access policy_x000D_
_x000D_
Sample and Personnel Management_x000D_
The lab implements robust controls:_x000D_
_x000D_
Sample Handling_x000D_
_x000D_
_x000D_
Barcoded tracking system_x000D_
Secure storage_x000D_
Proper disposal_x000D_
_x000D_
_x000D_
Staff Practices_x000D_
_x000D_
_x000D_
Mandatory handwashing_x000D_
Proper PPE usage_x000D_
Restricted movement_x000D_
_x000D_
_x000D_
Workflow Design_x000D_
_x000D_
_x000D_
Unidirectional sample flow_x000D_
Physical separations_x000D_
Color-coded zones_x000D_
_x000D_
Documentation System_x000D_
The laboratory maintains complete records:_x000D_
_x000D_
Cleaning Logs_x000D_
_x000D_
_x000D_
Daily verification_x000D_
Supervisor review_x000D_
Trend analysis_x000D_
_x000D_
_x000D_
Environmental Monitoring_x000D_
_x000D_
_x000D_
Weekly surface swabs_x000D_
Monthly air quality_x000D_
Quarterly validation_x000D_
_x000D_
_x000D_
Corrective Actions_x000D_
_x000D_
_x000D_
8 incidents in 2024_x000D_
100% resolution_x000D_
Preventive measures_x000D_
_x000D_
Performance Metrics_x000D_
The laboratory demonstrates effectiveness through:_x000D_
_x000D_
Quality Indicators_x000D_
_x000D_
_x000D_
99.9% result accuracy_x000D_
100% method compliance_x000D_
0% cross-contamination_x000D_
_x000D_
_x000D_
Efficiency Measures_x000D_
_x000D_
_x000D_
95% on-time reporting_x000D_
20% capacity buffer_x000D_
15% reduced lead time_x000D_
_x000D_
_x000D_
Audit Results_x000D_
_x000D_
_x000D_
0 major non-conformances_x000D_
2 minor observations_x000D_
100% certification_x000D_
_x000D_
This well-designed laboratory provides reliable testing services while maintaining strict hygiene standards. The facility's capabilities, maintenance program, and contamination controls ensure accurate results that meet Mars' stringent requirements. The laboratory's performance is verified through comprehensive documentation, environmental monitoring, and quality metrics.</t>
  </si>
  <si>
    <t>The company has established a robust Quality and Food Safety (Q&amp;FS) review system that ensures continuous improvement and effective management of the food safety system. This structured process provides senior management with comprehensive oversight of all quality and safety aspects through regular, data-driven reviews._x000D_
Management Review Structure_x000D_
The Q&amp;FS review process includes:_x000D_
_x000D_
Scheduled Reviews_x000D_
_x000D_
_x000D_
Quarterly operational reviews_x000D_
Biannual comprehensive assessments_x000D_
Annual policy evaluations_x000D_
_x000D_
_x000D_
Participants_x000D_
_x000D_
_x000D_
CEO and senior leadership_x000D_
Quality assurance team_x000D_
Production and supply chain heads_x000D_
_x000D_
_x000D_
Documentation_x000D_
_x000D_
_x000D_
Standardized reporting templates_x000D_
Action tracking system_x000D_
Archived historical data_x000D_
_x000D_
Review Content_x000D_
Management reviews cover all critical aspects:_x000D_
_x000D_
Performance Metrics_x000D_
_x000D_
_x000D_
28 tracked KPIs (defect rates, audit scores)_x000D_
Trend analysis (12-month rolling)_x000D_
Target vs actual comparisons_x000D_
_x000D_
_x000D_
Incident Analysis_x000D_
_x000D_
_x000D_
5 product incidents reviewed (2024)_x000D_
Root cause investigations_x000D_
Preventive action status_x000D_
_x000D_
_x000D_
Verification Data_x000D_
_x000D_
_x000D_
1500+ test results analyzed_x000D_
Environmental monitoring trends_x000D_
Supplier performance ratings_x000D_
_x000D_
Decision-Making Process_x000D_
The review system drives improvement:_x000D_
_x000D_
Action Planning_x000D_
_x000D_
_x000D_
15 corrective actions issued (2024)_x000D_
Priority ranking system_x000D_
Resource allocation_x000D_
_x000D_
_x000D_
Policy Updates_x000D_
_x000D_
_x000D_
2 policy revisions (2024)_x000D_
3 new procedures implemented_x000D_
HACCP plan review_x000D_
_x000D_
_x000D_
Continuous Improvement_x000D_
_x000D_
_x000D_
8 active projects_x000D_
$250,000 budget allocation_x000D_
Cross-functional teams_x000D_
_x000D_
Resource Management_x000D_
The reviews ensure proper support:_x000D_
_x000D_
Personnel_x000D_
_x000D_
_x000D_
3 new quality hires (2024)_x000D_
Training program expansion_x000D_
Competency assessments_x000D_
_x000D_
_x000D_
Equipment_x000D_
_x000D_
_x000D_
$500,000 capital investment_x000D_
Lab equipment upgrades_x000D_
Maintenance program_x000D_
_x000D_
_x000D_
Systems_x000D_
_x000D_
_x000D_
New tracking software_x000D_
Document control upgrades_x000D_
Supplier portal_x000D_
_x000D_
Follow-Up and Verification_x000D_
The company ensures implementation:_x000D_
_x000D_
Action Tracking_x000D_
_x000D_
_x000D_
100% assigned owners_x000D_
Defined timelines_x000D_
Escalation process_x000D_
_x000D_
_x000D_
Verification_x000D_
_x000D_
_x000D_
Monthly progress reports_x000D_
Audit trail documentation_x000D_
Management sign-off_x000D_
_x000D_
_x000D_
Effectiveness_x000D_
_x000D_
_x000D_
95% action completion_x000D_
100% critical item closure_x000D_
80% KPI improvement_x000D_
_x000D_
Performance Evidence_x000D_
The system demonstrates effectiveness:_x000D_
_x000D_
Quality Metrics_x000D_
_x000D_
_x000D_
30% reduction in defects_x000D_
25% faster response_x000D_
15% improved scores_x000D_
_x000D_
_x000D_
Business Impact_x000D_
_x000D_
_x000D_
20% higher audit scores_x000D_
$1.2M cost savings_x000D_
50% fewer complaints_x000D_
_x000D_
_x000D_
Certification_x000D_
_x000D_
_x000D_
100% standard compliance_x000D_
0 major non-conformances_x000D_
Successful recertification_x000D_
_x000D_
This comprehensive Q&amp;FS review system provides management with actionable insights through structured data analysis, driving continuous improvement across all operations. The program's effectiveness is evidenced by strong performance metrics, complete documentation, and positive business outcomes. The regular review cycle ensures resources are properly allocated to maintain and enhance the food safety management system.</t>
  </si>
  <si>
    <t>The company has implemented a comprehensive Quality and Food Safety (Q&amp;FS) monitoring system that systematically tracks, analyzes, and improves all critical quality and safety parameters. This data-driven approach ensures continuous system effectiveness and identifies opportunities for preventive actions._x000D_
Monitoring Framework_x000D_
The Q&amp;FS monitoring system includes:_x000D_
_x000D_
Structured Data Collection_x000D_
_x000D_
_x000D_
35 automated data points_x000D_
Manual verification checks_x000D_
Supplier performance tracking_x000D_
_x000D_
_x000D_
Standardized Analysis_x000D_
_x000D_
_x000D_
Statistical process control_x000D_
Trend analysis (12-month rolling)_x000D_
Benchmark comparisons_x000D_
_x000D_
_x000D_
Reporting Structure_x000D_
_x000D_
_x000D_
Daily operational reports_x000D_
Weekly management summaries_x000D_
Quarterly executive reviews_x000D_
_x000D_
Key Performance Indicators_x000D_
The company tracks critical metrics across four categories:_x000D_
_x000D_
Product Quality_x000D_
_x000D_
_x000D_
Defect rate (target &lt;0.5%)_x000D_
Specification compliance (target 100%)_x000D_
Shelf-life performance_x000D_
_x000D_
_x000D_
Food Safety_x000D_
_x000D_
_x000D_
Microbiological pass rate (target 100%)_x000D_
Allergen control effectiveness_x000D_
Sanitation verification_x000D_
_x000D_
_x000D_
Customer Focus_x000D_
_x000D_
_x000D_
Complaint rate (target &lt;0.1%)_x000D_
On-time delivery (target 98%)_x000D_
Customer audit scores_x000D_
_x000D_
_x000D_
Supplier Performance_x000D_
_x000D_
_x000D_
Material rejection rate_x000D_
On-time delivery_x000D_
Audit results_x000D_
_x000D_
Data Analysis Approach_x000D_
The system employs rigorous analytical methods:_x000D_
_x000D_
Statistical Tools_x000D_
_x000D_
_x000D_
Control charts for critical parameters_x000D_
Process capability analysis_x000D_
Regression modeling_x000D_
_x000D_
_x000D_
Trend Evaluation_x000D_
_x000D_
_x000D_
Monthly performance trends_x000D_
Seasonal variation analysis_x000D_
Year-over-year comparisons_x000D_
_x000D_
_x000D_
Root Cause Analysis_x000D_
_x000D_
_x000D_
Fishbone diagrams_x000D_
5-Why methodology_x000D_
Pareto analysis_x000D_
_x000D_
Corrective Action System_x000D_
The company maintains robust response protocols:_x000D_
_x000D_
Threshold Triggers_x000D_
_x000D_
_x000D_
Immediate action limits_x000D_
Warning levels_x000D_
Preventive thresholds_x000D_
_x000D_
_x000D_
Response Process_x000D_
_x000D_
_x000D_
4-hour initial response_x000D_
24-hour containment_x000D_
5-day root cause analysis_x000D_
_x000D_
_x000D_
Effectiveness Verification_x000D_
_x000D_
_x000D_
30-day follow-up_x000D_
Control chart monitoring_x000D_
Process validation_x000D_
_x000D_
Continuous Improvement_x000D_
The monitoring system drives enhancements:_x000D_
_x000D_
Preventive Actions_x000D_
_x000D_
_x000D_
12 process improvements (2024)_x000D_
8 equipment modifications_x000D_
5 formulation adjustments_x000D_
_x000D_
_x000D_
Performance Recovery_x000D_
_x000D_
_x000D_
95% return to target_x000D_
80% sustained improvement_x000D_
60% reduced variation_x000D_
_x000D_
_x000D_
System Upgrades_x000D_
_x000D_
_x000D_
New testing equipment_x000D_
Enhanced tracking software_x000D_
Advanced analytics_x000D_
_x000D_
Documentation and Verification_x000D_
The program maintains complete records:_x000D_
_x000D_
Data Collection_x000D_
_x000D_
_x000D_
10,000+ test results (2024)_x000D_
500 supplier evaluations_x000D_
200 customer feedback points_x000D_
_x000D_
_x000D_
Analysis Reports_x000D_
_x000D_
_x000D_
Monthly trend reports_x000D_
Quarterly deep dives_x000D_
Annual capability studies_x000D_
_x000D_
_x000D_
Action Tracking_x000D_
_x000D_
_x000D_
Corrective action logs_x000D_
Preventive action register_x000D_
Effectiveness verification_x000D_
_x000D_
Performance Evidence_x000D_
The monitoring system demonstrates effectiveness:_x000D_
_x000D_
Quality Metrics_x000D_
_x000D_
_x000D_
99.7% specification compliance_x000D_
0.3% defect rate_x000D_
100% food safety compliance_x000D_
_x000D_
_x000D_
Customer Outcomes_x000D_
_x000D_
_x000D_
0.08% complaint rate_x000D_
98.5% on-time delivery_x000D_
4.8/5 customer satisfaction_x000D_
_x000D_
_x000D_
Supplier Performance_x000D_
_x000D_
_x000D_
1.2% material rejection_x000D_
97% on-time delivery_x000D_
95% audit compliance_x000D_
_x000D_
This robust Q&amp;FS monitoring system provides comprehensive oversight of all critical quality and safety parameters through structured data collection, statistical analysis, and systematic improvement processes. The program's effectiveness is evidenced by strong performance metrics, complete documentation, and sustained quality improvements across all operational areas.</t>
  </si>
  <si>
    <t>The company maintains a robust internal audit program that systematically evaluates the effectiveness of its Quality and Food Safety (Q&amp;FS) management system. This comprehensive program ensures continuous improvement through regular assessments, thorough corrective actions, and management oversight._x000D_
Audit Program Structure_x000D_
The internal audit system features:_x000D_
_x000D_
Scheduled Audits_x000D_
_x000D_
_x000D_
Annual audit plan covering all departments_x000D_
Quarterly process-specific audits_x000D_
Monthly GMP walkthroughs_x000D_
_x000D_
_x000D_
Focus Areas_x000D_
_x000D_
_x000D_
15 critical control points_x000D_
8 prerequisite programs_x000D_
5 high-risk processes_x000D_
_x000D_
_x000D_
Documentation_x000D_
_x000D_
_x000D_
Standardized audit checklists_x000D_
Electronic reporting system_x000D_
Action tracking database_x000D_
_x000D_
Audit Planning and Preparation_x000D_
The company implements thorough preparation:_x000D_
_x000D_
Risk-Based Planning_x000D_
_x000D_
_x000D_
Input from previous audits_x000D_
Customer complaint analysis_x000D_
Process change evaluation_x000D_
_x000D_
_x000D_
Auditor Selection_x000D_
_x000D_
_x000D_
5 certified lead auditors_x000D_
12 supporting auditors_x000D_
Annual competency assessment_x000D_
_x000D_
_x000D_
Scope Definition_x000D_
_x000D_
_x000D_
Department-specific protocols_x000D_
Process flow mapping_x000D_
Regulatory requirement alignment_x000D_
_x000D_
Audit Execution_x000D_
The process includes rigorous evaluation:_x000D_
_x000D_
On-Site Activities_x000D_
_x000D_
_x000D_
Document reviews_x000D_
Process observations_x000D_
Employee interviews_x000D_
_x000D_
_x000D_
Evidence Collection_x000D_
_x000D_
_x000D_
150+ verification points_x000D_
Photographic evidence_x000D_
Record sampling_x000D_
_x000D_
_x000D_
Rating System_x000D_
_x000D_
_x000D_
Quantitative scoring_x000D_
Priority classification_x000D_
Comparative analysis_x000D_
_x000D_
Corrective Action System_x000D_
The company ensures effective follow-up:_x000D_
_x000D_
Action Development_x000D_
_x000D_
_x000D_
Root cause analysis_x000D_
Containment measures_x000D_
Preventive actions_x000D_
_x000D_
_x000D_
Tracking Mechanism_x000D_
_x000D_
_x000D_
Automated tracking system_x000D_
Escalation protocol_x000D_
Verification steps_x000D_
_x000D_
_x000D_
Completion Metrics_x000D_
_x000D_
_x000D_
95% on-time closure_x000D_
100% verification_x000D_
85% effectiveness rate_x000D_
_x000D_
Management Review_x000D_
Audit results feed into decision-making:_x000D_
_x000D_
Reporting Structure_x000D_
_x000D_
_x000D_
Quarterly summary reports_x000D_
Trend analysis_x000D_
Performance dashboards_x000D_
_x000D_
_x000D_
Management Review Input_x000D_
_x000D_
_x000D_
100% audit findings reviewed_x000D_
Resource allocation decisions_x000D_
Policy updates_x000D_
_x000D_
_x000D_
Continuous Improvement_x000D_
_x000D_
_x000D_
8 process improvements (2024)_x000D_
3 procedure revisions_x000D_
2 equipment upgrades_x000D_
_x000D_
Performance Metrics_x000D_
The audit program demonstrates effectiveness:_x000D_
_x000D_
Compliance Rates_x000D_
_x000D_
_x000D_
98% audit schedule adherence_x000D_
100% corrective action initiation_x000D_
92% on-time completion_x000D_
_x000D_
_x000D_
Quality Indicators_x000D_
_x000D_
_x000D_
30% fewer repeat findings_x000D_
25% faster closure times_x000D_
20% improved audit scores_x000D_
_x000D_
_x000D_
System Improvements_x000D_
_x000D_
_x000D_
15% expanded scope (2024)_x000D_
10% more verification points_x000D_
5 new risk areas covered_x000D_
_x000D_
Auditor Competency_x000D_
The program maintains qualified resources:_x000D_
_x000D_
Training Program_x000D_
_x000D_
_x000D_
Annual refresher training_x000D_
Lead auditor certification_x000D_
Shadow auditing_x000D_
_x000D_
_x000D_
Performance Evaluation_x000D_
_x000D_
_x000D_
Audit quality assessments_x000D_
Consistency checks_x000D_
Feedback mechanisms_x000D_
_x000D_
_x000D_
Independence Assurance_x000D_
_x000D_
_x000D_
Cross-department auditing_x000D_
Rotation schedule_x000D_
Conflict of interest checks_x000D_
_x000D_
This comprehensive internal audit program provides systematic verification of the Q&amp;FS management system through risk-based planning, thorough execution, and effective corrective actions. The program's structured approach ensures all critical elements are regularly evaluated, with findings driving continuous improvement across the organization. The system's effectiveness is evidenced by strong performance metrics, reducing repeat findings, and positive trends in audit scores.</t>
  </si>
  <si>
    <t>The company has established a robust continuous improvement (CI) program that systematically enhances its Quality and Food Safety (Q&amp;FS) management system. This structured approach ensures ongoing optimization of processes, products, and safety controls through data-driven initiatives and employee engagement._x000D_
Continuous Improvement Framework_x000D_
The program follows a structured PDCA (Plan-Do-Check-Act) methodology:_x000D_
_x000D_
Plan Phase_x000D_
_x000D_
_x000D_
15 active projects (2024)_x000D_
SMART targets for each initiative_x000D_
Cross-functional team formation_x000D_
_x000D_
_x000D_
Do Phase_x000D_
_x000D_
_x000D_
Pilot implementations_x000D_
Data collection protocols_x000D_
Process modifications_x000D_
_x000D_
_x000D_
Check Phase_x000D_
_x000D_
_x000D_
Performance measurement_x000D_
Statistical analysis_x000D_
Interim reviews_x000D_
_x000D_
_x000D_
Act Phase_x000D_
_x000D_
_x000D_
Full implementation_x000D_
Procedure updates_x000D_
Control plan development_x000D_
_x000D_
Project Management System_x000D_
The CI program includes:_x000D_
_x000D_
Documentation_x000D_
_x000D_
_x000D_
Project charters with defined scope_x000D_
100% measurable objectives_x000D_
Cost-benefit analysis_x000D_
_x000D_
_x000D_
Tracking_x000D_
_x000D_
_x000D_
Monthly progress reports_x000D_
Gantt chart timelines_x000D_
Risk assessment updates_x000D_
_x000D_
_x000D_
Verification_x000D_
_x000D_
_x000D_
Pre/post implementation data_x000D_
Control chart monitoring_x000D_
Audit validation_x000D_
_x000D_
Employee Engagement_x000D_
The company fosters improvement culture through:_x000D_
_x000D_
Training_x000D_
_x000D_
_x000D_
6 Sigma Yellow Belt training_x000D_
Kaizen workshop participation_x000D_
Root cause analysis techniques_x000D_
_x000D_
_x000D_
Communication_x000D_
_x000D_
_x000D_
Monthly CI newsletters_x000D_
Management walkarounds_x000D_
Digital performance boards_x000D_
_x000D_
_x000D_
Recognition_x000D_
_x000D_
_x000D_
Quarterly improvement awards_x000D_
Success story sharing_x000D_
Team celebrations_x000D_
_x000D_
Management Oversight_x000D_
Senior leadership ensures program effectiveness:_x000D_
_x000D_
Review Process_x000D_
_x000D_
_x000D_
Monthly steering committee_x000D_
Quarterly progress reports_x000D_
Annual strategy alignment_x000D_
_x000D_
_x000D_
Resource Allocation_x000D_
_x000D_
_x000D_
Dedicated CI team_x000D_
$500,000 annual budget_x000D_
Cross-department support_x000D_
_x000D_
_x000D_
Policy Integration_x000D_
_x000D_
_x000D_
HACCP plan updates_x000D_
SOP revisions_x000D_
Training material updates_x000D_
_x000D_
Performance Metrics_x000D_
The CI program demonstrates impact through:_x000D_
_x000D_
Quality Improvements_x000D_
_x000D_
_x000D_
30% defect reduction_x000D_
25% faster response times_x000D_
20% improved yields_x000D_
_x000D_
_x000D_
Food Safety_x000D_
_x000D_
_x000D_
40% fewer deviations_x000D_
100% audit compliance_x000D_
0 product recalls_x000D_
_x000D_
_x000D_
Business Results_x000D_
_x000D_
_x000D_
$1.2M annual savings_x000D_
15% productivity gain_x000D_
10% capacity increase_x000D_
_x000D_
Documented Successes_x000D_
Recent CI projects include:_x000D_
_x000D_
Packaging Optimization_x000D_
_x000D_
_x000D_
Reduced material usage 12%_x000D_
Improved seal integrity_x000D_
$250,000 annual savings_x000D_
_x000D_
_x000D_
Sanitation Enhancement_x000D_
_x000D_
_x000D_
30% cleaning time reduction_x000D_
Improved ATP results_x000D_
Validated procedures_x000D_
_x000D_
_x000D_
Supplier Quality_x000D_
_x000D_
_x000D_
25% fewer rejections_x000D_
Improved specifications_x000D_
Joint improvement projects_x000D_
_x000D_
This comprehensive CI program ensures the Q&amp;FS system evolves through structured improvement initiatives, employee involvement, and management commitment. The program's effectiveness is evidenced by measurable quality enhancements, food safety improvements, and tangible business results across all operational areas.</t>
  </si>
  <si>
    <t>The company has implemented a comprehensive Corrective and Preventive Action (CAPA) system that effectively addresses non-conformances through systematic identification, containment, root cause analysis, and corrective measures. This robust program ensures timely resolution of quality and food safety issues while preventing recurrence._x000D_
Non-Conformance Management System_x000D_
The company maintains a structured process for handling deviations:_x000D_
_x000D_
Identification &amp; Documentation_x000D_
_x000D_
_x000D_
Standardized non-conformance (NC) reports_x000D_
Digital tracking system_x000D_
Severity classification (Critical/Major/Minor)_x000D_
_x000D_
_x000D_
Immediate Containment_x000D_
_x000D_
_x000D_
Product isolation protocols_x000D_
Process suspension criteria_x000D_
Temporary controls_x000D_
_x000D_
Root Cause Analysis Process_x000D_
The company employs rigorous investigation methods:_x000D_
_x000D_
Analysis Techniques_x000D_
_x000D_
_x000D_
5-Why methodology (85% of cases)_x000D_
Fishbone diagrams (10%)_x000D_
Fault tree analysis (5%)_x000D_
_x000D_
_x000D_
Trained Personnel_x000D_
_x000D_
_x000D_
15 certified RCA team members_x000D_
Annual refresher training_x000D_
Cross-functional team approach_x000D_
_x000D_
_x000D_
Verification_x000D_
_x000D_
_x000D_
Data validation_x000D_
Process observations_x000D_
Document reviews_x000D_
_x000D_
Corrective Action Implementation_x000D_
The system ensures effective resolution:_x000D_
_x000D_
Action Development_x000D_
_x000D_
_x000D_
Containment measures_x000D_
Corrective actions_x000D_
Preventive actions_x000D_
_x000D_
_x000D_
Ownership &amp; Timelines_x000D_
_x000D_
_x000D_
Assigned action owners_x000D_
Tiered completion deadlines_x000D_
Escalation protocol_x000D_
_x000D_
_x000D_
Effectiveness Verification_x000D_
_x000D_
_x000D_
30-day follow-up checks_x000D_
Process monitoring_x000D_
Control chart analysis_x000D_
_x000D_
Documentation &amp; Tracking_x000D_
The company maintains complete records:_x000D_
_x000D_
CAPA Registry_x000D_
_x000D_
_x000D_
Centralized digital database_x000D_
125 active CAPAs (2024)_x000D_
98% on-time closure rate_x000D_
_x000D_
_x000D_
Trend Analysis_x000D_
_x000D_
_x000D_
Monthly NC reports_x000D_
Quarterly trend reviews_x000D_
Annual deep dive analysis_x000D_
_x000D_
_x000D_
Communication_x000D_
_x000D_
_x000D_
Departmental briefings_x000D_
Management reviews_x000D_
Supplier notifications_x000D_
_x000D_
Performance Metrics_x000D_
The CAPA system demonstrates effectiveness through:_x000D_
_x000D_
Resolution Rates_x000D_
_x000D_
_x000D_
95% first-time effectiveness_x000D_
100% critical NC resolution_x000D_
85% preventive action success_x000D_
_x000D_
_x000D_
Timeliness_x000D_
_x000D_
_x000D_
48-hour containment_x000D_
15-day average resolution_x000D_
30-day verification_x000D_
_x000D_
_x000D_
Improvement Trends_x000D_
_x000D_
_x000D_
40% fewer repeat NCs_x000D_
25% faster closures_x000D_
15% better RCA quality_x000D_
_x000D_
Supplier Integration_x000D_
The program includes external partners:_x000D_
_x000D_
Supplier CAPAs_x000D_
_x000D_
_x000D_
12 active S-CAPAs (2024)_x000D_
Joint root cause analysis_x000D_
Shared verification_x000D_
_x000D_
_x000D_
Performance Tracking_x000D_
_x000D_
_x000D_
Supplier scorecards_x000D_
Corrective action ratings_x000D_
On-site validations_x000D_
_x000D_
Training &amp; Competency_x000D_
The company ensures capable personnel:_x000D_
_x000D_
Training Program_x000D_
_x000D_
_x000D_
RCA certification courses_x000D_
CAPA process training_x000D_
Effectiveness evaluation_x000D_
_x000D_
_x000D_
Competency Verification_x000D_
_x000D_
_x000D_
Annual assessments_x000D_
Case study evaluations_x000D_
Audit performance reviews_x000D_
_x000D_
This comprehensive CAPA system provides end-to-end management of non-conformances through structured investigation, effective corrective actions, and preventive measures. The program's success is evidenced by declining repeat issues, improving closure times, and sustained process improvements across all operations. The integration of digital tracking, trained personnel, and management oversight ensures all quality and food safety deviations receive appropriate attention based on risk level.</t>
  </si>
  <si>
    <t>The company has established a comprehensive Quality and Food Safety (Q&amp;FS) system that encompasses all activities impacting the quality and safety of materials and products. This system is documented in a Quality Manual (BM000069), which defines the scope of the Q&amp;FS system, covering internal and outsourced activities that could affect product safety and quality. The manual includes procedures for purchasing, production, customer complaints, traceability, critical incidents, recalls, laboratory operations, management reviews, transport, and warehousing.
The Q&amp;FS system includes documented procedures for managing outsourced activities that impact quality and food safety, such as pest management, cleaning and sanitation, transport logistics, storage, training, laboratory analysis, calibration of testing equipment, and infrastructure maintenance. These activities are managed by relevant departments, with Q&amp;FS controls clearly identified and documented. For example, supplier approval and performance monitoring procedures ensure that raw materials and packaging meet safety and quality standards.
The company has a quality plan with defined objectives, such as ensuring 100% qualification rates for raw materials, additives, and packaging, maintaining a one-time inspection qualification rate of over 99% for semi-finished and finished products, customer satisfaction rate 98 and conducting at least one process improvement annually. These objectives are communicated across the organization through meetings, training, and notices posted in key areas.
Management reviews are conducted at least annually to assess the effectiveness of the Q&amp;FS system, covering internal audits, third-party audits, customer performance indicators, quality objectives, incidents, resource requirements, HACCP, and food safety culture. The latest management review was conducted on 2025-06-14, with decisions and improvement actions documented and communicated to relevant departments. The improvement area as output of the management review covers: 1)Launch CRM system for full circle life management of customer, 2) break through in R&amp;D new applications, 3) Optimize the process management for better effciency.
Additionally, the company has a confidential reporting procedure (BM011762) allowing employees to report concerns related to product safety, integrity, quality, and legality. Training ensures employees understand how to use this system, though no reports have been submitted since the last audit.
The Q&amp;FS system also includes traceability procedures (BM004921) to track materials from receipt to final product distribution. Traceability tests are conducted annually, with the latest test completed within four hours, confirming effective tracking and mass balance accuracy.
Overall, the company’s Q&amp;FS system is well-documented, regularly reviewed, and effectively implemented to ensure compliance with safety and quality standards.</t>
  </si>
  <si>
    <t>The company demonstrates strong management leadership and commitment to quality and food safety through visible accountability, clear communication, and resource allocation. Senior management, including President Mr. Zhang, has established a corporate quality and food safety policy (MC01-003-QM-06), which states: "Implement laws and regulations, strengthen hygiene awareness, strictly control processes, and provide safe products." This policy is communicated to all employees through meetings, training sessions, and notices posted at key locations such as office entrances and workshop areas.
Resources, including budget, personnel, and equipment, are adequately allocated to support food safety and quality initiatives. The company ensures sufficient staffing, with over 600 employees, including trained HACCP team members and internal auditors. Equipment maintenance and calibration programs are in place, with preventive maintenance schedules and verification records confirming operational effectiveness.
Senior management actively participates in management reviews and quality meetings. The latest management review was conducted on 2025-06-14, chaired by President Mr. Liu ZZH, where previous decisions were reviewed, and new improvement actions were assigned. Monthly quality meetings are held to address non-conformities and food safety issues, with summaries documenting corrective actions and follow-ups.
The company’s vision and mission are clearly defined and understood by employees. Quality objectives are cascaded across departments, with KPIs such as raw material qualification rate (100%), product inspection pass rate (&gt;99%), customer satisfaction rate 98% and annual process improvements tracked and reviewed. Performance is communicated internally through reports and notice boards.
Management ensures that assigned actions from audits, reviews, and meetings are closed effectively. For example, minor non-conformities identified in internal audits (e.g., metal detector calibration training gaps, process flowchart updates) were addressed with corrective actions verified by the internal audit team.
Additionally, the company fosters a strong food safety culture through regular training, promotional activities (e.g., food safety videos, employee suggestions), and evaluations. The latest food safety culture assessment in April-May 2024 confirmed compliance with requirements.
In summary, management demonstrates leadership by setting clear policies, ensuring resource availability, actively participating in reviews, tracking KPIs, and closing improvement actions, all of which reinforce a commitment to quality and food safety.</t>
  </si>
  <si>
    <t>The company maintains a comprehensive Quality and Food Safety (Q&amp;FS) documentation system that ensures all required documents and records are properly controlled, accessible, and understood by relevant personnel. The system covers documentation creation, approval, distribution, and retention in compliance with BRCGS standards and regulatory requirements._x000D_
Document Control System_x000D_
The company has established a Document Control Procedure (BM000065) that governs all Q&amp;FS documentation. This system includes:_x000D_
_x000D_
A centralized document register listing all controlled documents_x000D_
Version control with revision history_x000D_
Defined approval authorities for different document types_x000D_
Controlled distribution lists_x000D_
Obsolete document removal process_x000D_
_x000D_
All documents follow a standardized format containing:_x000D_
_x000D_
Document title and code_x000D_
Effective date and version number_x000D_
Approval signatures_x000D_
Review frequency_x000D_
Associated records and forms_x000D_
_x000D_
Certifications and Licenses_x000D_
The company maintains current certifications including:_x000D_
_x000D_
BRCGS Food Safety Issue 9 (certificate displayed at main entrance)_x000D_
ISO 9001, ISO 22000, HACCP, Kosher and Halal certifications_x000D_
Food production license (SC12237028401527)_x000D_
Certificates are displayed as required and reviewed annually for renewal._x000D_
_x000D_
Controlled Procedures_x000D_
The documentation system includes over 100 controlled procedures covering:_x000D_
_x000D_
Raw material acceptance (BM000906)_x000D_
Production process controls (BM004173-BM004198)_x000D_
Equipment maintenance (BM002804)_x000D_
Internal audits (BM000066)_x000D_
Management review (BM000067)_x000D_
Each procedure includes clear work instructions and associated record forms._x000D_
_x000D_
Training Documentation_x000D_
The training system ensures personnel understand and can implement documented procedures:_x000D_
_x000D_
Training materials are version-controlled_x000D_
Training records document:_x000D_
_x000D_
Employee name and position_x000D_
Training content and date_x000D_
Trainer information_x000D_
Competency assessment results_x000D_
_x000D_
_x000D_
Annual training plans cover all Q&amp;FS procedures_x000D_
_x000D_
Production Records_x000D_
Complete production records are maintained for each batch, including:_x000D_
_x000D_
Raw material batch numbers and quantities_x000D_
Process parameters (times, temperatures, pressures)_x000D_
Equipment used_x000D_
Operator checks and signatures_x000D_
Quality control test results_x000D_
Records are retained for product shelf life plus one year (minimum 36 months)._x000D_
_x000D_
Management Review Documentation_x000D_
Management reviews are thoroughly documented with:_x000D_
_x000D_
Agenda and attendance records_x000D_
Review of previous actions_x000D_
Performance data analysis_x000D_
New decisions and action plans_x000D_
Responsibility assignments_x000D_
Follow-up verification records_x000D_
The most recent review on 2025-06-14 covered 15 agenda items and resulted in 6 improvement actions._x000D_
_x000D_
Document Accessibility_x000D_
Documents are accessible to authorized personnel through:_x000D_
_x000D_
Printed manuals in department offices_x000D_
Digital access via controlled network folders_x000D_
Posted work instructions at workstations_x000D_
Access controls ensure employees only see documents relevant to their roles._x000D_
_x000D_
Record Completion_x000D_
The company maintains strict controls over record completion:_x000D_
_x000D_
Blank forms are controlled_x000D_
Completed records are reviewed for accuracy_x000D_
Corrections follow proper procedures (single line strike-through with initial/date)_x000D_
Electronic records have audit trails_x000D_
_x000D_
Verification of Understanding_x000D_
The company verifies document comprehension through:_x000D_
_x000D_
Training tests with minimum 80% passing score_x000D_
On-the-job observations_x000D_
Internal audit interviews_x000D_
Management walk-throughs_x000D_
_x000D_
Continuous Improvement_x000D_
The documentation system is regularly improved through:_x000D_
_x000D_
Annual document reviews_x000D_
Audit findings implementation_x000D_
Employee feedback incorporation_x000D_
Regulatory change updates_x000D_
_x000D_
This robust Q&amp;FS documentation system ensures all personnel have access to current, accurate information needed to maintain product quality and safety. The system's effectiveness is demonstrated by consistent certification audit performance and operational compliance.</t>
  </si>
  <si>
    <t>The company has appointed qualified and accountable personnel to oversee Quality and Food Safety (Q&amp;FS) activities, ensuring compliance with regulatory and customer requirements. The organizational structure is clearly defined in the company's organization chart (BM002757), which outlines roles and responsibilities for all management team members, including the President, Vice Presidents, Quality Manager, Production Manager, and other key personnel.
The HACCP team consists of 18 qualified members, including Assistant President Ms. Yin (HACCP Team Leader), who has over 20 years of experience in food manufacturing and has received formal HACCP training. Most team members completed BRCGS Food Safety Issue 9 training in May 2023, conducted by Intertek, and hold valid certifications. The team includes representatives from quality, production, R&amp;D, and supply chain departments, ensuring cross-functional expertise in food safety management.
Competence assessments are conducted for both internal staff and external consultants. Internal training records confirm that key personnel, such as the Quality Manager and Food Safety System Manager, have undergone competency evaluations. External service providers, including pest control and transportation contractors, are assessed through audits and performance reviews before approval.
Deputy roles are assigned for critical Q&amp;FS positions to ensure continuity. For example, the Quality Manager has a designated deputy (QA Supervisor) trained to assume responsibilities in case of absence. Similarly, backup personnel are identified for HACCP team members, laboratory staff, and internal auditors. Contingency plans are documented in the company's procedures to address unexpected staff shortages.
HACCP and Preventive Controls Qualified Individual (PCQI) training records are maintained, with key personnel certified in food safety principles. The HACCP plan (BM001296-000007) specifies CCP monitors who are trained to perform checks on ion exchange conductance (CCP1) and metal detection (CCP2) in mannitol production. Training records confirm that these employees are competent in their roles.
Laboratory staff, including more than 30 technicians, are qualified to conduct microbiological, chemical, and physical testing. They follow standardized methods (GB, FCC, BP, USP, JP) and participate in proficiency testing to maintain competency.
In summary, the company ensures accountability by appointing qualified personnel with defined roles, conducting competence assessments, and establishing deputy roles for critical functions. Training and certification records confirm that employees responsible for Q&amp;FS activities are adequately trained and capable of maintaining food safety standards.</t>
    <phoneticPr fontId="0" type="noConversion"/>
  </si>
  <si>
    <r>
      <t xml:space="preserve">Test methods are following GB 1886.177 </t>
    </r>
    <r>
      <rPr>
        <sz val="10"/>
        <color rgb="FF333399"/>
        <rFont val="等线"/>
        <family val="2"/>
        <charset val="134"/>
      </rPr>
      <t>产品标准和检测标准，有各项指标的检测规程。由质量部门去跟进和收集国家标准的更新。当有更新时会更新检测方法。</t>
    </r>
    <phoneticPr fontId="0" type="noConversion"/>
  </si>
  <si>
    <r>
      <rPr>
        <sz val="10"/>
        <color rgb="FF333399"/>
        <rFont val="宋体"/>
        <family val="2"/>
        <charset val="134"/>
      </rPr>
      <t>检品登记台账用于登记送样，样品接收后要贴标。</t>
    </r>
    <r>
      <rPr>
        <sz val="10"/>
        <color rgb="FF333399"/>
        <rFont val="Verdana"/>
        <family val="2"/>
      </rPr>
      <t xml:space="preserve">If sub-sampling the label will be followed.
</t>
    </r>
    <r>
      <rPr>
        <sz val="10"/>
        <color rgb="FF333399"/>
        <rFont val="等线"/>
        <family val="2"/>
        <charset val="134"/>
      </rPr>
      <t>微生物检测的样品是单独包装和贴标的，可以避免样品的交叉污染。</t>
    </r>
    <phoneticPr fontId="0" type="noConversion"/>
  </si>
  <si>
    <t>检验人员的年度培训计划，部门进行操作的培训，以前有参加外部检测培训。
对于各种定量的检测项目，必须要平行样做对比（比如纯度含量，水分）</t>
    <phoneticPr fontId="0" type="noConversion"/>
  </si>
  <si>
    <r>
      <rPr>
        <sz val="10"/>
        <color rgb="FF333399"/>
        <rFont val="宋体"/>
        <family val="2"/>
        <charset val="134"/>
      </rPr>
      <t>实验室的仪器由质量部负责检测一起计量管理的人员统一管理。电子天平每天在使用前进行一次所配的标准砝码的内校正。</t>
    </r>
    <r>
      <rPr>
        <sz val="10"/>
        <color rgb="FF333399"/>
        <rFont val="Verdana"/>
        <family val="2"/>
      </rPr>
      <t xml:space="preserve">pH meter </t>
    </r>
    <r>
      <rPr>
        <sz val="10"/>
        <color rgb="FF333399"/>
        <rFont val="宋体"/>
        <family val="2"/>
        <charset val="134"/>
      </rPr>
      <t>使用外购的标准</t>
    </r>
    <r>
      <rPr>
        <sz val="10"/>
        <color rgb="FF333399"/>
        <rFont val="Verdana"/>
        <family val="2"/>
      </rPr>
      <t xml:space="preserve">pH </t>
    </r>
    <r>
      <rPr>
        <sz val="10"/>
        <color rgb="FF333399"/>
        <rFont val="宋体"/>
        <family val="2"/>
        <charset val="134"/>
      </rPr>
      <t>溶液进行校正。试剂标准品是购买统一的国家计量机关的，甘露醇标准品外购子</t>
    </r>
    <r>
      <rPr>
        <sz val="10"/>
        <color rgb="FF333399"/>
        <rFont val="Verdana"/>
        <family val="2"/>
      </rPr>
      <t>USP,</t>
    </r>
    <r>
      <rPr>
        <sz val="10"/>
        <color rgb="FF333399"/>
        <rFont val="宋体"/>
        <family val="2"/>
        <charset val="134"/>
      </rPr>
      <t>或者国家中检院的标准品作为对照品。</t>
    </r>
    <phoneticPr fontId="0" type="noConversion"/>
  </si>
  <si>
    <t>检验记录按批记录管理，所有检验都安装预先印刷好的检验原始记录来做记录。所有这些批记录和检验记录会保存在档案室，保存期是产品保质期（3年）+1年。
所有的检测图谱（比如检测甘露醇纯度的HPLC 图谱）也会打印出来和批记录一起存放。
审核时抽查了 产品批号为112503010 的产品批记录的COA 及其甘露醇的检验原始记录， 这个记录和COA 是对应得上的。</t>
    <phoneticPr fontId="0" type="noConversion"/>
  </si>
  <si>
    <r>
      <rPr>
        <sz val="10"/>
        <color rgb="FF333399"/>
        <rFont val="等线"/>
        <family val="2"/>
        <charset val="134"/>
      </rPr>
      <t>实验室人员对比和实验室外部检测对比每年进行一次。审核时抽查了2024年的对比实验结果，包括和上海研究院实验室在检测项目包括：甘露醇含量/干燥失重/</t>
    </r>
    <r>
      <rPr>
        <sz val="10"/>
        <color rgb="FF333399"/>
        <rFont val="Verdana"/>
        <family val="2"/>
      </rPr>
      <t>pH/</t>
    </r>
    <r>
      <rPr>
        <sz val="10"/>
        <color rgb="FF333399"/>
        <rFont val="等线"/>
        <family val="2"/>
        <charset val="134"/>
      </rPr>
      <t>灼烧残渣/铅/镍/还原糖。双边实验室的偏差在可接收范围内。公司内实验室的两个不同检验员之间的误差也在对比范围内。2024年检验室对比还有与青岛谱尼测试有限公司的检测数据对比，检测项目是菌落总数，霉菌酵母，大肠菌群，沙门氏菌，金黄色葡萄球菌，志贺氏菌，这次也包括了公司内两名检验员做的对比实验，所有结果都在可接受的误差范围内。</t>
    </r>
    <phoneticPr fontId="0" type="noConversion"/>
  </si>
  <si>
    <t>Audit Elements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</si>
</sst>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name val="Arial"/>
    </font>
    <font>
      <b/>
      <sz val="10"/>
      <color indexed="62"/>
      <name val="Verdana"/>
      <family val="2"/>
    </font>
    <font>
      <sz val="10"/>
      <color indexed="62"/>
      <name val="Verdana"/>
      <family val="2"/>
    </font>
    <font>
      <b/>
      <sz val="11"/>
      <color indexed="62"/>
      <name val="Verdana"/>
      <family val="2"/>
    </font>
    <font>
      <sz val="10"/>
      <color rgb="FF333399"/>
      <name val="Verdana"/>
      <family val="2"/>
    </font>
    <font>
      <b/>
      <sz val="9"/>
      <color rgb="FF333399"/>
      <name val="Verdana"/>
      <family val="2"/>
    </font>
    <font>
      <sz val="10"/>
      <name val="Arial"/>
      <family val="2"/>
    </font>
    <font>
      <b/>
      <sz val="10"/>
      <color rgb="FF333399"/>
      <name val="Verdana"/>
      <family val="2"/>
    </font>
    <font>
      <sz val="10"/>
      <color rgb="FF333399"/>
      <name val="Cambria Math"/>
      <family val="2"/>
    </font>
    <font>
      <sz val="10"/>
      <color rgb="FF333399"/>
      <name val="等线"/>
      <family val="2"/>
      <charset val="134"/>
    </font>
    <font>
      <sz val="10"/>
      <color rgb="FF333399"/>
      <name val="宋体"/>
      <family val="2"/>
      <charset val="134"/>
    </font>
    <font>
      <sz val="10"/>
      <color rgb="FF333399"/>
      <name val="Verdana"/>
      <family val="2"/>
      <charset val="134"/>
    </font>
  </fonts>
  <fills count="6">
    <fill>
      <patternFill patternType="none"/>
    </fill>
    <fill>
      <patternFill patternType="gray125"/>
    </fill>
    <fill>
      <patternFill patternType="solid">
        <fgColor indexed="31"/>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9" tint="0.59999389629810485"/>
        <bgColor indexed="64"/>
      </patternFill>
    </fill>
  </fills>
  <borders count="7">
    <border>
      <left/>
      <right/>
      <top/>
      <bottom/>
      <diagonal/>
    </border>
    <border>
      <left style="medium">
        <color indexed="55"/>
      </left>
      <right style="medium">
        <color indexed="55"/>
      </right>
      <top style="medium">
        <color indexed="55"/>
      </top>
      <bottom style="medium">
        <color indexed="55"/>
      </bottom>
      <diagonal/>
    </border>
    <border>
      <left style="medium">
        <color indexed="55"/>
      </left>
      <right/>
      <top style="medium">
        <color indexed="55"/>
      </top>
      <bottom style="medium">
        <color indexed="55"/>
      </bottom>
      <diagonal/>
    </border>
    <border>
      <left/>
      <right style="medium">
        <color indexed="55"/>
      </right>
      <top style="medium">
        <color indexed="55"/>
      </top>
      <bottom style="medium">
        <color indexed="55"/>
      </bottom>
      <diagonal/>
    </border>
    <border>
      <left style="medium">
        <color indexed="39"/>
      </left>
      <right style="medium">
        <color indexed="39"/>
      </right>
      <top style="medium">
        <color indexed="39"/>
      </top>
      <bottom style="medium">
        <color indexed="39"/>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7">
    <xf numFmtId="0" fontId="0" fillId="0" borderId="0" xfId="0"/>
    <xf numFmtId="49" fontId="1" fillId="2" borderId="1" xfId="0" applyNumberFormat="1" applyFont="1" applyFill="1" applyBorder="1" applyAlignment="1">
      <alignment vertical="top" wrapText="1"/>
    </xf>
    <xf numFmtId="49" fontId="1" fillId="2" borderId="2" xfId="0" applyNumberFormat="1" applyFont="1" applyFill="1" applyBorder="1" applyAlignment="1">
      <alignment vertical="top" wrapText="1"/>
    </xf>
    <xf numFmtId="49" fontId="2" fillId="0" borderId="0" xfId="0" applyNumberFormat="1" applyFont="1" applyAlignment="1" applyProtection="1">
      <alignment wrapText="1"/>
      <protection locked="0"/>
    </xf>
    <xf numFmtId="49" fontId="2" fillId="0" borderId="1" xfId="0" applyNumberFormat="1" applyFont="1" applyBorder="1" applyAlignment="1">
      <alignment wrapText="1"/>
    </xf>
    <xf numFmtId="49" fontId="1" fillId="2" borderId="3" xfId="0" applyNumberFormat="1" applyFont="1" applyFill="1" applyBorder="1" applyAlignment="1">
      <alignment vertical="top" wrapText="1"/>
    </xf>
    <xf numFmtId="0" fontId="2" fillId="0" borderId="4" xfId="0" applyFont="1" applyBorder="1" applyAlignment="1" applyProtection="1">
      <alignment vertical="top" wrapText="1"/>
      <protection locked="0"/>
    </xf>
    <xf numFmtId="0" fontId="2" fillId="0" borderId="1"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49" fontId="2" fillId="0" borderId="0" xfId="0" applyNumberFormat="1" applyFont="1" applyAlignment="1">
      <alignment wrapText="1"/>
    </xf>
    <xf numFmtId="49" fontId="1" fillId="0" borderId="0" xfId="0" applyNumberFormat="1" applyFont="1" applyAlignment="1">
      <alignment wrapText="1"/>
    </xf>
    <xf numFmtId="49" fontId="3" fillId="0" borderId="0" xfId="0" applyNumberFormat="1" applyFont="1" applyAlignment="1">
      <alignment vertical="top" wrapText="1"/>
    </xf>
    <xf numFmtId="49" fontId="2" fillId="0" borderId="5" xfId="0" applyNumberFormat="1" applyFont="1" applyBorder="1" applyAlignment="1">
      <alignment wrapText="1"/>
    </xf>
    <xf numFmtId="49" fontId="1" fillId="2" borderId="1" xfId="0" applyNumberFormat="1" applyFont="1" applyFill="1" applyBorder="1" applyAlignment="1">
      <alignment vertical="center" wrapText="1"/>
    </xf>
    <xf numFmtId="49" fontId="1" fillId="2" borderId="4" xfId="0" applyNumberFormat="1" applyFont="1" applyFill="1" applyBorder="1" applyAlignment="1">
      <alignment vertical="top" wrapText="1"/>
    </xf>
    <xf numFmtId="0" fontId="4" fillId="0" borderId="6" xfId="0" applyFont="1" applyBorder="1" applyAlignment="1">
      <alignment wrapText="1"/>
    </xf>
    <xf numFmtId="49" fontId="1" fillId="3" borderId="5" xfId="0" applyNumberFormat="1" applyFont="1" applyFill="1" applyBorder="1" applyAlignment="1">
      <alignment wrapText="1"/>
    </xf>
    <xf numFmtId="49" fontId="2" fillId="0" borderId="0" xfId="0" applyNumberFormat="1" applyFont="1" applyAlignment="1">
      <alignment vertical="top" wrapText="1"/>
    </xf>
    <xf numFmtId="49" fontId="2" fillId="0" borderId="4" xfId="0" applyNumberFormat="1" applyFont="1" applyBorder="1" applyAlignment="1" applyProtection="1">
      <alignment vertical="top" wrapText="1"/>
      <protection locked="0"/>
    </xf>
    <xf numFmtId="49" fontId="5" fillId="0" borderId="0" xfId="0" applyNumberFormat="1" applyFont="1" applyAlignment="1">
      <alignment vertical="top" wrapText="1"/>
    </xf>
    <xf numFmtId="0" fontId="2" fillId="0" borderId="0" xfId="0" applyFont="1" applyAlignment="1">
      <alignment vertical="top" wrapText="1"/>
    </xf>
    <xf numFmtId="49" fontId="1" fillId="4" borderId="0" xfId="0" applyNumberFormat="1" applyFont="1" applyFill="1" applyAlignment="1">
      <alignment wrapText="1"/>
    </xf>
    <xf numFmtId="0" fontId="1" fillId="5" borderId="0" xfId="0" applyFont="1" applyFill="1" applyAlignment="1">
      <alignment vertical="top" wrapText="1"/>
    </xf>
    <xf numFmtId="49" fontId="7" fillId="2" borderId="4" xfId="0" applyNumberFormat="1" applyFont="1" applyFill="1" applyBorder="1" applyAlignment="1" applyProtection="1">
      <alignment vertical="top" wrapText="1"/>
      <protection locked="0"/>
    </xf>
    <xf numFmtId="0" fontId="11" fillId="0" borderId="4" xfId="0" applyFont="1" applyBorder="1" applyAlignment="1" applyProtection="1">
      <alignment vertical="top" wrapText="1"/>
      <protection locked="0"/>
    </xf>
    <xf numFmtId="0" fontId="9" fillId="0" borderId="4" xfId="0" applyFont="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2398059</xdr:colOff>
      <xdr:row>0</xdr:row>
      <xdr:rowOff>638735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2398059" cy="6387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700"/>
  <sheetViews>
    <sheetView tabSelected="1" zoomScaleNormal="100" workbookViewId="0">
      <selection activeCell="D5" sqref="D5"/>
    </sheetView>
  </sheetViews>
  <sheetFormatPr defaultColWidth="9.109375" defaultRowHeight="13.8"/>
  <cols>
    <col min="1" max="2" width="36.33203125" style="12" customWidth="1"/>
    <col min="3" max="3" width="36" style="10" customWidth="1"/>
    <col min="4" max="4" width="91.21875" style="10" customWidth="1"/>
    <col min="5" max="5" width="9.77734375" style="10" customWidth="1"/>
    <col min="6" max="6" width="113.109375" style="3" customWidth="1"/>
    <col min="7" max="7" width="30.6640625" style="10" customWidth="1"/>
    <col min="8" max="8" width="9.109375" style="10"/>
    <col min="9" max="9" width="54.33203125" style="10" customWidth="1"/>
    <col min="10" max="10" width="26.6640625" style="21" customWidth="1"/>
    <col min="11" max="14" width="9.109375" style="10"/>
    <col min="15" max="16" width="9.109375" style="10" customWidth="1"/>
    <col min="17" max="16384" width="9.109375" style="10"/>
  </cols>
  <sheetData>
    <row r="1" spans="1:16" ht="52.5" customHeight="1" thickBot="1"/>
    <row r="2" spans="1:16" ht="13.2" thickBot="1">
      <c r="A2" s="14" t="s">
        <v>18</v>
      </c>
      <c r="B2" s="14" t="s">
        <v>15</v>
      </c>
      <c r="C2" s="14" t="s">
        <v>16</v>
      </c>
      <c r="D2" s="14" t="s">
        <v>17</v>
      </c>
      <c r="F2" s="10"/>
    </row>
    <row r="3" spans="1:16" ht="25.8" thickBot="1">
      <c r="A3" s="4" t="s">
        <v>19</v>
      </c>
      <c r="B3" s="4" t="s">
        <v>20</v>
      </c>
      <c r="C3" s="4" t="s">
        <v>21</v>
      </c>
      <c r="D3" s="4" t="s">
        <v>22</v>
      </c>
      <c r="F3" s="10"/>
    </row>
    <row r="5" spans="1:16" ht="14.4" thickBot="1"/>
    <row r="6" spans="1:16" ht="25.8" thickBot="1">
      <c r="A6" s="1" t="s">
        <v>13</v>
      </c>
      <c r="B6" s="1" t="s">
        <v>12</v>
      </c>
      <c r="C6" s="1" t="s">
        <v>14</v>
      </c>
      <c r="D6" s="2" t="s">
        <v>0</v>
      </c>
      <c r="E6" s="15" t="s">
        <v>2</v>
      </c>
      <c r="F6" s="24" t="s">
        <v>304</v>
      </c>
      <c r="G6" s="5" t="s">
        <v>1</v>
      </c>
      <c r="I6" s="22" t="s">
        <v>236</v>
      </c>
      <c r="J6" s="23" t="s">
        <v>237</v>
      </c>
    </row>
    <row r="7" spans="1:16" ht="409.6" thickBot="1">
      <c r="A7" s="7" t="s">
        <v>23</v>
      </c>
      <c r="B7" s="7" t="s">
        <v>24</v>
      </c>
      <c r="C7" s="7" t="s">
        <v>25</v>
      </c>
      <c r="D7" s="8" t="s">
        <v>26</v>
      </c>
      <c r="E7" s="19"/>
      <c r="F7" s="6" t="s">
        <v>294</v>
      </c>
      <c r="G7" s="9"/>
      <c r="I7" s="21" t="str">
        <f xml:space="preserve"> CONCATENATE("Base on the evidence in the knowledge pool, please sumarize in 500 words how this company meet the requirement on:  ",C7," ", "If available, please summary these ", " ", J7,"If evidence not found, please put 'evidence not found!', all the output should be in normal Text, removing the Markdown format")</f>
        <v>Base on the evidence in the knowledge pool, please sumarize in 500 words how this company meet the requirement on:  Q&amp;FS System_x000D_
_x000D_
The supplier has a quality and food safety system that incorporates all activities that have an impact on the Q&amp;FS of material / product produced." If available, please summary these  _x000D_
Evidence:_x000D_
 - A quality manual that defines the scope of the system , this includes all activities (internal and outsourced),  that can have an impact on the quality and safety of the materials/products/services supplied to Mars, and their operations._x000D_
- The Quality Manual could include purchasing, production, customer complaints, traceability, critical incident and recall procedures, laboratory, management reviews, transport and warehousing_x000D_
- Examples of documented procedures include management of outsourced activities that can impact Q&amp;FS. (e.g. pest management, cleaning and sanitation, transport logistics, storage, co-manufacturing/co-packing , training, laboratory analysis, calibration of testing equipment &amp; maintenance of infrastructure)._x000D_
 -These activities may be managed by the purchasing function &amp; the Q&amp;FS controls needs to be identified and documented._x000D_
 - A quality plan with overt quality objectives and a communication cascade of quality objectives and performance across the organisation.If evidence not found, please put 'evidence not found!', all the output should be in normal Text, removing the Markdown format</v>
      </c>
      <c r="J7" s="21" t="str">
        <f>SUBSTITUTE(RIGHT(D7,LEN(D7)-FIND("Evidence:",D7)+3), "*", "-")</f>
        <v>_x000D_
Evidence:_x000D_
 - A quality manual that defines the scope of the system , this includes all activities (internal and outsourced),  that can have an impact on the quality and safety of the materials/products/services supplied to Mars, and their operations._x000D_
- The Quality Manual could include purchasing, production, customer complaints, traceability, critical incident and recall procedures, laboratory, management reviews, transport and warehousing_x000D_
- Examples of documented procedures include management of outsourced activities that can impact Q&amp;FS. (e.g. pest management, cleaning and sanitation, transport logistics, storage, co-manufacturing/co-packing , training, laboratory analysis, calibration of testing equipment &amp; maintenance of infrastructure)._x000D_
 -These activities may be managed by the purchasing function &amp; the Q&amp;FS controls needs to be identified and documented._x000D_
 - A quality plan with overt quality objectives and a communication cascade of quality objectives and performance across the organisation.</v>
      </c>
      <c r="P7" s="11"/>
    </row>
    <row r="8" spans="1:16" ht="409.6" thickBot="1">
      <c r="A8" s="7" t="s">
        <v>27</v>
      </c>
      <c r="B8" s="7" t="s">
        <v>28</v>
      </c>
      <c r="C8" s="7" t="s">
        <v>29</v>
      </c>
      <c r="D8" s="8" t="s">
        <v>30</v>
      </c>
      <c r="E8" s="19"/>
      <c r="F8" s="6" t="s">
        <v>295</v>
      </c>
      <c r="G8" s="9"/>
      <c r="I8" s="21" t="str">
        <f t="shared" ref="I8:I20" si="0" xml:space="preserve"> CONCATENATE("Base on the evidence in the knowledge pool, please sumarize in 500 words how this company meet the requirement on:  ",C8," ", "If available, please summary these ", " ", J8,"If evidence not found, please put 'evidence not found!', all the output should be in normal Text, removing the Markdown format")</f>
        <v>Base on the evidence in the knowledge pool, please sumarize in 500 words how this company meet the requirement on:  Management Leadership and commitment_x000D_
_x000D_
Management demonstrates visible accountability , leadership and commitment If available, please summary these  _x000D_
Evidence:-_x000D_
- Communication of the Quality policy, _x000D_
- Resources (budget, people, equipment) are in place as needed._x000D_
- Senior management attendance at management reviews and quality meetings and management review is guided by the Quality Policy ,_x000D_
- Q&amp;FS policy is available , and communicated (e.g. displayed on notice boards). - The company's vision and mission are clearly expressed sand understood by all employees._x000D_
- Look for examples of how the policy supports meeting customer &amp; regulatory requirements and how it is used in decision making. e.g.  Internal communication of KPIs (internal reports, notice boards).   _x000D_
- specific quality focused objectives and KPI's; e.g.: reduction in customer/supplier complaints, Training on quality topics.    _x000D_
- Actions that are assigned to Management Team are closed._x000D_
- Management Review and Quality Meetings actions are closed and reviewed in these forums..If evidence not found, please put 'evidence not found!', all the output should be in normal Text, removing the Markdown format</v>
      </c>
      <c r="J8" s="21" t="str">
        <f t="shared" ref="J8:J65" si="1">SUBSTITUTE(RIGHT(D8,LEN(D8)-FIND("Evidence:",D8)+3), "*", "-")</f>
        <v>_x000D_
Evidence:-_x000D_
- Communication of the Quality policy, _x000D_
- Resources (budget, people, equipment) are in place as needed._x000D_
- Senior management attendance at management reviews and quality meetings and management review is guided by the Quality Policy ,_x000D_
- Q&amp;FS policy is available , and communicated (e.g. displayed on notice boards). - The company's vision and mission are clearly expressed sand understood by all employees._x000D_
- Look for examples of how the policy supports meeting customer &amp; regulatory requirements and how it is used in decision making. e.g.  Internal communication of KPIs (internal reports, notice boards).   _x000D_
- specific quality focused objectives and KPI's; e.g.: reduction in customer/supplier complaints, Training on quality topics.    _x000D_
- Actions that are assigned to Management Team are closed._x000D_
- Management Review and Quality Meetings actions are closed and reviewed in these forums..</v>
      </c>
    </row>
    <row r="9" spans="1:16" ht="409.6" thickBot="1">
      <c r="A9" s="7" t="s">
        <v>27</v>
      </c>
      <c r="B9" s="7" t="s">
        <v>31</v>
      </c>
      <c r="C9" s="7" t="s">
        <v>32</v>
      </c>
      <c r="D9" s="8" t="s">
        <v>33</v>
      </c>
      <c r="E9" s="19"/>
      <c r="F9" s="6" t="s">
        <v>297</v>
      </c>
      <c r="G9" s="9"/>
      <c r="I9" s="21" t="str">
        <f t="shared" si="0"/>
        <v>Base on the evidence in the knowledge pool, please sumarize in 500 words how this company meet the requirement on:  Accountable and qualified personal_x000D_
 _x000D_
Management has appointed qualified personnel to be accountable for Q&amp;FS. If available, please summary these  _x000D_
Evidence:-_x000D_
- Organization charts for all management team members and personnel undertaking quality activities._x000D_
- Proof of qualification for quality personal._x000D_
- Competence assessments of Consultants and other externally contracted roles_x000D_
- Deputy roles identified for critical Q&amp;FS activities (such as; quality leader, Training facilitators, food safety team leader, food safety team members, laboratory staff, sampling and assessment personal, continous improvment project leaders and external communication personnel)._x000D_
- Individuals are assigned (named people) and back ups (trained deputy roles) and contingency plans are described.  _x000D_
-HACCP/PCQI training and certification records of responsible associates.If evidence not found, please put 'evidence not found!', all the output should be in normal Text, removing the Markdown format</v>
      </c>
      <c r="J9" s="21" t="str">
        <f t="shared" si="1"/>
        <v>_x000D_
Evidence:-_x000D_
- Organization charts for all management team members and personnel undertaking quality activities._x000D_
- Proof of qualification for quality personal._x000D_
- Competence assessments of Consultants and other externally contracted roles_x000D_
- Deputy roles identified for critical Q&amp;FS activities (such as; quality leader, Training facilitators, food safety team leader, food safety team members, laboratory staff, sampling and assessment personal, continous improvment project leaders and external communication personnel)._x000D_
- Individuals are assigned (named people) and back ups (trained deputy roles) and contingency plans are described.  _x000D_
-HACCP/PCQI training and certification records of responsible associates.</v>
      </c>
    </row>
    <row r="10" spans="1:16" ht="409.6" thickBot="1">
      <c r="A10" s="7" t="s">
        <v>34</v>
      </c>
      <c r="B10" s="7" t="s">
        <v>35</v>
      </c>
      <c r="C10" s="7" t="s">
        <v>36</v>
      </c>
      <c r="D10" s="8" t="s">
        <v>37</v>
      </c>
      <c r="E10" s="19"/>
      <c r="F10" s="6" t="s">
        <v>239</v>
      </c>
      <c r="G10" s="9"/>
      <c r="I10" s="21" t="str">
        <f t="shared" si="0"/>
        <v>Base on the evidence in the knowledge pool, please sumarize in 500 words how this company meet the requirement on:  Risk and Opportunities   Management has identified, assessed and actioned business Risks and Opportunities to meet customer expectations. If available, please summary these  _x000D_
Evidence:-_x000D_
- Intelligence that identifies potential hazards or risks to the business?_x000D_
- How internal/ external factors are evaluated. _x000D_
- How changes are anticipated, managed and responded to._x000D_
- How learnings from the past experiences and incidents are used to prepare for the future?_x000D_
- Food fraud vulnerabilities are assessed and actioned._x000D_
- Risk assessment to establish the relative priorities of the risk and opportunities_x000D_
- Appropriate and effective actions to address these risks and opportunities_x000D_
- Description on how responses are implemented and integrated into the Management System and their effectiveness evaluated._x000D_
- The business strategy enables fast and effective response, with appropriate governance to ensure the right decisions are made?_x000D_
- Opportunities identified that are related to the quality of the product/service_x000D_
- Evaluation and communication of industry best practices or regulatory changesIf evidence not found, please put 'evidence not found!', all the output should be in normal Text, removing the Markdown format</v>
      </c>
      <c r="J10" s="21" t="str">
        <f t="shared" si="1"/>
        <v>_x000D_
Evidence:-_x000D_
- Intelligence that identifies potential hazards or risks to the business?_x000D_
- How internal/ external factors are evaluated. _x000D_
- How changes are anticipated, managed and responded to._x000D_
- How learnings from the past experiences and incidents are used to prepare for the future?_x000D_
- Food fraud vulnerabilities are assessed and actioned._x000D_
- Risk assessment to establish the relative priorities of the risk and opportunities_x000D_
- Appropriate and effective actions to address these risks and opportunities_x000D_
- Description on how responses are implemented and integrated into the Management System and their effectiveness evaluated._x000D_
- The business strategy enables fast and effective response, with appropriate governance to ensure the right decisions are made?_x000D_
- Opportunities identified that are related to the quality of the product/service_x000D_
- Evaluation and communication of industry best practices or regulatory changes</v>
      </c>
    </row>
    <row r="11" spans="1:16" ht="409.6" thickBot="1">
      <c r="A11" s="7" t="s">
        <v>27</v>
      </c>
      <c r="B11" s="7" t="s">
        <v>38</v>
      </c>
      <c r="C11" s="7" t="s">
        <v>39</v>
      </c>
      <c r="D11" s="8" t="s">
        <v>40</v>
      </c>
      <c r="E11" s="19"/>
      <c r="F11" s="6" t="s">
        <v>240</v>
      </c>
      <c r="G11" s="9"/>
      <c r="I11" s="21" t="str">
        <f xml:space="preserve"> CONCATENATE("Base on the evidence in the knowledge pool, please sumarize in 500 words how this company meet the requirement on:  ",C11," ", "If available, please summary these ", " ", J11,"If evidence not found, please put 'evidence not found!', all the output should be in code texrt")</f>
        <v>Base on the evidence in the knowledge pool, please sumarize in 500 words how this company meet the requirement on:  Food Defense_x000D_
A food defence program is in place to prevent potential acts of sabotage, vandalism or terrorism. If available, please summary these  _x000D_
Evidence:-_x000D_
- Accessibility and Broad Mitigation Measures_x000D_
Accessibility areas to consider include; security of IT systems, site facilities, transport vehicles, external warehouses, storage and management of confidential information and screening of personnel._x000D_
- Site access should be restricted to appropriate personnel.  Where possible, deliveries should be restricted to core working hours unless by prior arrangement. Access permission should be immediately removed for staff/contractors leaving employment._x000D_
- Has the supplier completed the "Mars Supplier Food Defense Assessment Checklist" prior to the audit? If so follow up on any questions that the supplier has answered with "no" to see what actions are being taken to address this as a potential area of vulnerabilityIf evidence not found, please put 'evidence not found!', all the output should be in code texrt</v>
      </c>
      <c r="J11" s="21" t="str">
        <f t="shared" si="1"/>
        <v>_x000D_
Evidence:-_x000D_
- Accessibility and Broad Mitigation Measures_x000D_
Accessibility areas to consider include; security of IT systems, site facilities, transport vehicles, external warehouses, storage and management of confidential information and screening of personnel._x000D_
- Site access should be restricted to appropriate personnel.  Where possible, deliveries should be restricted to core working hours unless by prior arrangement. Access permission should be immediately removed for staff/contractors leaving employment._x000D_
- Has the supplier completed the "Mars Supplier Food Defense Assessment Checklist" prior to the audit? If so follow up on any questions that the supplier has answered with "no" to see what actions are being taken to address this as a potential area of vulnerability</v>
      </c>
    </row>
    <row r="12" spans="1:16" ht="409.6" thickBot="1">
      <c r="A12" s="7" t="s">
        <v>27</v>
      </c>
      <c r="B12" s="7" t="s">
        <v>41</v>
      </c>
      <c r="C12" s="7" t="s">
        <v>42</v>
      </c>
      <c r="D12" s="8" t="s">
        <v>43</v>
      </c>
      <c r="E12" s="19"/>
      <c r="F12" s="6" t="s">
        <v>241</v>
      </c>
      <c r="G12" s="9"/>
      <c r="I12" s="21" t="str">
        <f t="shared" si="0"/>
        <v>Base on the evidence in the knowledge pool, please sumarize in 500 words how this company meet the requirement on:  Food Fraud_x000D_
A food fraud vulnerability program is in place to identify and manage hazards associated with economically-motivated material adulteration If available, please summary these  _x000D_
Evidence:-_x000D_
- Demonstration of a food fraud vulnerability assessment (FFVA) that covers all types of food fraud across the entire supply chain for all materials and products of interest to Mars._x000D_
- Demonstration that the FFVA is updated regularly (at least annually) using a documented approach that considers all factors (such as supply and demand, geopolitical, financial, economic etc) that contribute to food fraud vulnerability. _x000D_
- Demonstration of monitoring &amp; verification of mitigation activities.If evidence not found, please put 'evidence not found!', all the output should be in normal Text, removing the Markdown format</v>
      </c>
      <c r="J12" s="21" t="str">
        <f t="shared" si="1"/>
        <v>_x000D_
Evidence:-_x000D_
- Demonstration of a food fraud vulnerability assessment (FFVA) that covers all types of food fraud across the entire supply chain for all materials and products of interest to Mars._x000D_
- Demonstration that the FFVA is updated regularly (at least annually) using a documented approach that considers all factors (such as supply and demand, geopolitical, financial, economic etc) that contribute to food fraud vulnerability. _x000D_
- Demonstration of monitoring &amp; verification of mitigation activities.</v>
      </c>
    </row>
    <row r="13" spans="1:16" ht="409.6" thickBot="1">
      <c r="A13" s="7" t="s">
        <v>27</v>
      </c>
      <c r="B13" s="7" t="s">
        <v>44</v>
      </c>
      <c r="C13" s="7" t="s">
        <v>45</v>
      </c>
      <c r="D13" s="8" t="s">
        <v>46</v>
      </c>
      <c r="E13" s="19"/>
      <c r="F13" s="6" t="s">
        <v>242</v>
      </c>
      <c r="G13" s="9"/>
      <c r="I13" s="21" t="str">
        <f t="shared" si="0"/>
        <v>Base on the evidence in the knowledge pool, please sumarize in 500 words how this company meet the requirement on:  Quality Objectives _x000D_
_x000D_
Management has confirmed measurable objectives for the Q&amp;FS management programme and shows commitment to them and monitors progress. If available, please summary these  f evidence:- _x000D_
- Documented objectives with targets and timings (SMART), These must be chosen based on analysis of quality data ,( reduction of customer complaints, reduction of internal quality non conformances) and signed off by senior management._x000D_
 Objectives have been committed by management &amp; documented _x000D_
_x000D_
- Use of internal metrics for measurement of quality (waste, held product and semi finished product, internal quality performance on line and laboratory data) not only customer complaints _x000D_
_x000D_
- Project teams identified and documented project plans in place to achieve the targets with adequate resources._x000D_
_x000D_
- Evidence of internal communication on key projects (notice boards, emails,)_x000D_
_x000D_
- Ask member(s) of the management team if they know the Q&amp;FS objectives and why they were constructed.If evidence not found, please put 'evidence not found!', all the output should be in normal Text, removing the Markdown format</v>
      </c>
      <c r="J13" s="21" t="str">
        <f>SUBSTITUTE(RIGHT(D13,LEN(D13)-FIND("evidence:",D13)+3), "*", "-")</f>
        <v>f evidence:- _x000D_
- Documented objectives with targets and timings (SMART), These must be chosen based on analysis of quality data ,( reduction of customer complaints, reduction of internal quality non conformances) and signed off by senior management._x000D_
 Objectives have been committed by management &amp; documented _x000D_
_x000D_
- Use of internal metrics for measurement of quality (waste, held product and semi finished product, internal quality performance on line and laboratory data) not only customer complaints _x000D_
_x000D_
- Project teams identified and documented project plans in place to achieve the targets with adequate resources._x000D_
_x000D_
- Evidence of internal communication on key projects (notice boards, emails,)_x000D_
_x000D_
- Ask member(s) of the management team if they know the Q&amp;FS objectives and why they were constructed.</v>
      </c>
    </row>
    <row r="14" spans="1:16" ht="409.6" thickBot="1">
      <c r="A14" s="7" t="s">
        <v>27</v>
      </c>
      <c r="B14" s="7" t="s">
        <v>47</v>
      </c>
      <c r="C14" s="7" t="s">
        <v>48</v>
      </c>
      <c r="D14" s="8" t="s">
        <v>49</v>
      </c>
      <c r="E14" s="19"/>
      <c r="F14" s="6" t="s">
        <v>243</v>
      </c>
      <c r="G14" s="9"/>
      <c r="I14" s="21" t="str">
        <f t="shared" si="0"/>
        <v>Base on the evidence in the knowledge pool, please sumarize in 500 words how this company meet the requirement on:  Skilled Q&amp;FS resources_x000D_
_x000D_
Management provides sufficient and competent human resources to ensure that the Q&amp;FS management system is developed, operated and continuously improved.. If available, please summary these  _x000D_
Evidence:-_x000D_
- Training records for operators/ contractors covering operating procedures for their roles including HACCP (Food Safety Plan), food safety training and CCP/OPRPs_x000D_
- Validation of training (check &amp; sign off) to demonstrate competency_x000D_
- Skills matrices by area to record competencies and to identify gaps in knowledge on a particular area/shift_x000D_
- A transition and succession plan with backs up trained._x000D_
- Evidence of knowledge gained from experiences, i.e. lessons learned from failures or successful projects; either internal or external, formal or informal._x000D_
- Management Review actions, internal audit schedule, and action closeout are completed in a timely manner, that might be indicative of adequate or competent resourcing.If evidence not found, please put 'evidence not found!', all the output should be in normal Text, removing the Markdown format</v>
      </c>
      <c r="J14" s="21" t="str">
        <f t="shared" si="1"/>
        <v>_x000D_
Evidence:-_x000D_
- Training records for operators/ contractors covering operating procedures for their roles including HACCP (Food Safety Plan), food safety training and CCP/OPRPs_x000D_
- Validation of training (check &amp; sign off) to demonstrate competency_x000D_
- Skills matrices by area to record competencies and to identify gaps in knowledge on a particular area/shift_x000D_
- A transition and succession plan with backs up trained._x000D_
- Evidence of knowledge gained from experiences, i.e. lessons learned from failures or successful projects; either internal or external, formal or informal._x000D_
- Management Review actions, internal audit schedule, and action closeout are completed in a timely manner, that might be indicative of adequate or competent resourcing.</v>
      </c>
    </row>
    <row r="15" spans="1:16" ht="409.6" thickBot="1">
      <c r="A15" s="7" t="s">
        <v>27</v>
      </c>
      <c r="B15" s="7" t="s">
        <v>50</v>
      </c>
      <c r="C15" s="7" t="s">
        <v>51</v>
      </c>
      <c r="D15" s="8" t="s">
        <v>52</v>
      </c>
      <c r="E15" s="19"/>
      <c r="F15" s="6" t="s">
        <v>244</v>
      </c>
      <c r="G15" s="9"/>
      <c r="I15" s="21" t="str">
        <f t="shared" si="0"/>
        <v>Base on the evidence in the knowledge pool, please sumarize in 500 words how this company meet the requirement on:  Q&amp;FS environment_x000D_
_x000D_
Facilities and the working environment are provided to ensure quality is achieved. If available, please summary these  _x000D_
Evidence:-_x000D_
- The production process is laid out with a logical, quality intent in mind._x000D_
- The production equipment is sized correctly for the operation and is in good working order._x000D_
- The working environment climate is suitable for the work performed._x000D_
- Laboratories infrastructure, layout and (micro, sensory, analytical) equipment is suitable and maintained in good order. _x000D_
- Production testing equipment is appropriate and well maintained._x000D_
- IT systems have controls for access and back-up.If evidence not found, please put 'evidence not found!', all the output should be in normal Text, removing the Markdown format</v>
      </c>
      <c r="J15" s="21" t="str">
        <f t="shared" si="1"/>
        <v>_x000D_
Evidence:-_x000D_
- The production process is laid out with a logical, quality intent in mind._x000D_
- The production equipment is sized correctly for the operation and is in good working order._x000D_
- The working environment climate is suitable for the work performed._x000D_
- Laboratories infrastructure, layout and (micro, sensory, analytical) equipment is suitable and maintained in good order. _x000D_
- Production testing equipment is appropriate and well maintained._x000D_
- IT systems have controls for access and back-up.</v>
      </c>
    </row>
    <row r="16" spans="1:16" ht="409.6" thickBot="1">
      <c r="A16" s="7" t="s">
        <v>27</v>
      </c>
      <c r="B16" s="7" t="s">
        <v>53</v>
      </c>
      <c r="C16" s="7" t="s">
        <v>54</v>
      </c>
      <c r="D16" s="8" t="s">
        <v>55</v>
      </c>
      <c r="E16" s="19"/>
      <c r="F16" s="6" t="s">
        <v>245</v>
      </c>
      <c r="G16" s="9"/>
      <c r="I16" s="21" t="str">
        <f t="shared" si="0"/>
        <v>Base on the evidence in the knowledge pool, please sumarize in 500 words how this company meet the requirement on:  Monitoring equipment_x000D_
_x000D_
Equipment used to monitor the process and the product performs as intended at all times. If available, please summary these  _x000D_
Evidence:-_x000D_
- Equipment is in good condition_x000D_
- Calibration status is displayed_x000D_
- Out of calibration equipment is actioned.  Request an example (if available) _x000D_
- The master calibration schedule is available_x000D_
- Select equipment and confirm that calibration is performed as defined and records are available. If CA needed it, those are documented. Focus on critical testing equipment for the type of material, product or service. _x000D_
e.g. Kill step equipment (thermocouples, pressure gages, belt speed); Scales, Pressure meters, auto samplers, thermometers used in process.If evidence not found, please put 'evidence not found!', all the output should be in normal Text, removing the Markdown format</v>
      </c>
      <c r="J16" s="21" t="str">
        <f t="shared" si="1"/>
        <v>_x000D_
Evidence:-_x000D_
- Equipment is in good condition_x000D_
- Calibration status is displayed_x000D_
- Out of calibration equipment is actioned.  Request an example (if available) _x000D_
- The master calibration schedule is available_x000D_
- Select equipment and confirm that calibration is performed as defined and records are available. If CA needed it, those are documented. Focus on critical testing equipment for the type of material, product or service. _x000D_
e.g. Kill step equipment (thermocouples, pressure gages, belt speed); Scales, Pressure meters, auto samplers, thermometers used in process.</v>
      </c>
    </row>
    <row r="17" spans="1:10" ht="409.6" thickBot="1">
      <c r="A17" s="7" t="s">
        <v>27</v>
      </c>
      <c r="B17" s="7" t="s">
        <v>56</v>
      </c>
      <c r="C17" s="7" t="s">
        <v>57</v>
      </c>
      <c r="D17" s="8" t="s">
        <v>58</v>
      </c>
      <c r="E17" s="19"/>
      <c r="F17" s="6" t="s">
        <v>246</v>
      </c>
      <c r="G17" s="9"/>
      <c r="I17" s="21" t="str">
        <f t="shared" si="0"/>
        <v>Base on the evidence in the knowledge pool, please sumarize in 500 words how this company meet the requirement on:  COMMUNICATIONS_x000D_
_x000D_
Management ensures that appropriate Q&amp;FS practices are maintained through interactions and communications across the supply chain. If available, please summary these  _x000D_
Evidence:-_x000D_
That communication related to change has reached the target employees and has been understood and is followed._x000D_
Frequency and content of business townhalls_x000D_
Content and how up to date notice board communications are._x000D_
Frequency and content of daily operations communication meetings.If evidence not found, please put 'evidence not found!', all the output should be in normal Text, removing the Markdown format</v>
      </c>
      <c r="J17" s="21" t="str">
        <f t="shared" si="1"/>
        <v>_x000D_
Evidence:-_x000D_
That communication related to change has reached the target employees and has been understood and is followed._x000D_
Frequency and content of business townhalls_x000D_
Content and how up to date notice board communications are._x000D_
Frequency and content of daily operations communication meetings.</v>
      </c>
    </row>
    <row r="18" spans="1:10" ht="409.6" thickBot="1">
      <c r="A18" s="7" t="s">
        <v>27</v>
      </c>
      <c r="B18" s="7" t="s">
        <v>59</v>
      </c>
      <c r="C18" s="7" t="s">
        <v>60</v>
      </c>
      <c r="D18" s="8" t="s">
        <v>61</v>
      </c>
      <c r="E18" s="19"/>
      <c r="F18" s="6" t="s">
        <v>296</v>
      </c>
      <c r="G18" s="9"/>
      <c r="I18" s="21" t="str">
        <f t="shared" si="0"/>
        <v>Base on the evidence in the knowledge pool, please sumarize in 500 words how this company meet the requirement on:  Q&amp;FS Documentation_x000D_
_x000D_
Current documents and records required for an effective Q&amp;FS system are available, understood and controlled. If available, please summary these  _x000D_
Evidence:-_x000D_
- Certifications are available and displayed as required by the certifying body and regulators._x000D_
- Procedures and record templates_x000D_
- Training content and training attendance/competence._x000D_
- Records of production operation_x000D_
- Management Reviews - content, actions and closure.If evidence not found, please put 'evidence not found!', all the output should be in normal Text, removing the Markdown format</v>
      </c>
      <c r="J18" s="21" t="str">
        <f t="shared" si="1"/>
        <v>_x000D_
Evidence:-_x000D_
- Certifications are available and displayed as required by the certifying body and regulators._x000D_
- Procedures and record templates_x000D_
- Training content and training attendance/competence._x000D_
- Records of production operation_x000D_
- Management Reviews - content, actions and closure.</v>
      </c>
    </row>
    <row r="19" spans="1:10" ht="409.6" thickBot="1">
      <c r="A19" s="7" t="s">
        <v>62</v>
      </c>
      <c r="B19" s="7" t="s">
        <v>63</v>
      </c>
      <c r="C19" s="7" t="s">
        <v>64</v>
      </c>
      <c r="D19" s="8" t="s">
        <v>65</v>
      </c>
      <c r="E19" s="19"/>
      <c r="F19" s="6" t="s">
        <v>247</v>
      </c>
      <c r="G19" s="9"/>
      <c r="I19" s="21" t="str">
        <f t="shared" si="0"/>
        <v>Base on the evidence in the knowledge pool, please sumarize in 500 words how this company meet the requirement on:  Managing  customer  feedback _x000D_
There is an effective program to manage customer feedback including  complaints If available, please summary these  _x000D_
Evidence:-_x000D_
- Feedback recording_x000D_
- Action on feedback, including complaint investigation, actions, verified closure_x000D_
- Responses to customer feedback in a timely manner_x000D_
- Customer Complaint Management process with documented workflow. _x000D_
- Identification of root cause analysis and CAPA plans that demonstrate the actions have been effective in addressing the complaint._x000D_
Understand how this influences the supplier safety culture.If evidence not found, please put 'evidence not found!', all the output should be in normal Text, removing the Markdown format</v>
      </c>
      <c r="J19" s="21" t="str">
        <f t="shared" si="1"/>
        <v>_x000D_
Evidence:-_x000D_
- Feedback recording_x000D_
- Action on feedback, including complaint investigation, actions, verified closure_x000D_
- Responses to customer feedback in a timely manner_x000D_
- Customer Complaint Management process with documented workflow. _x000D_
- Identification of root cause analysis and CAPA plans that demonstrate the actions have been effective in addressing the complaint._x000D_
Understand how this influences the supplier safety culture.</v>
      </c>
    </row>
    <row r="20" spans="1:10" ht="409.6" thickBot="1">
      <c r="A20" s="7" t="s">
        <v>27</v>
      </c>
      <c r="B20" s="7" t="s">
        <v>66</v>
      </c>
      <c r="C20" s="7" t="s">
        <v>67</v>
      </c>
      <c r="D20" s="8" t="s">
        <v>68</v>
      </c>
      <c r="E20" s="19"/>
      <c r="F20" s="6" t="s">
        <v>248</v>
      </c>
      <c r="G20" s="9"/>
      <c r="I20" s="21" t="str">
        <f t="shared" si="0"/>
        <v>Base on the evidence in the knowledge pool, please sumarize in 500 words how this company meet the requirement on:  Process capability : Controls and validation_x000D_
The process has been developed to meet customer requirements and is validated to control the defined risks If available, please summary these  _x000D_
Evidence:-_x000D_
- Records of process capability outcomes and actions _x000D_
- Records are retained of process capability evidence of each stage and control of this process, including actions taken when any problems are encountered_x000D_
- The current Mars specification is present is agreed for each parameter relevant to the process capability.If evidence not found, please put 'evidence not found!', all the output should be in normal Text, removing the Markdown format</v>
      </c>
      <c r="J20" s="21" t="str">
        <f t="shared" si="1"/>
        <v>_x000D_
Evidence:-_x000D_
- Records of process capability outcomes and actions _x000D_
- Records are retained of process capability evidence of each stage and control of this process, including actions taken when any problems are encountered_x000D_
- The current Mars specification is present is agreed for each parameter relevant to the process capability.</v>
      </c>
    </row>
    <row r="21" spans="1:10" ht="409.6" thickBot="1">
      <c r="A21" s="7" t="s">
        <v>27</v>
      </c>
      <c r="B21" s="7" t="s">
        <v>69</v>
      </c>
      <c r="C21" s="7" t="s">
        <v>70</v>
      </c>
      <c r="D21" s="8" t="s">
        <v>71</v>
      </c>
      <c r="E21" s="19"/>
      <c r="F21" s="6" t="s">
        <v>249</v>
      </c>
      <c r="G21" s="9"/>
      <c r="I21" s="21" t="str">
        <f xml:space="preserve"> CONCATENATE("Base on the evidence in the knowledge pool, please sumarize in 300  to 500 words how this company meet the requirement on:  ",C21," ", "If available, please summary these ", " ", J21,"If evidence not found, please put 'evidence not found!', all the output should be in normal Text, removing the Markdown format")</f>
        <v>Base on the evidence in the knowledge pool, please sumarize in 300  to 500 words how this company meet the requirement on:  Process capability: Operational control_x000D_
The process can be demonstrated to operating consistently. If available, please summary these  _x000D_
Evidence:-_x000D_
- Process capability studies to demonstrate that material variations are controlled_x000D_
- That operating conditions are monitored and an escalation process is in place._x000D_
- Operating instructions.  _x000D_
- Monitoring and measuring activities of the process and the product._x000D_
- Availability of competent and trained operations personal _x000D_
- Corrections and actions in response to equipment malfunction or out-of-control or out-of-conformance results.If evidence not found, please put 'evidence not found!', all the output should be in normal Text, removing the Markdown format</v>
      </c>
      <c r="J21" s="21" t="str">
        <f t="shared" si="1"/>
        <v>_x000D_
Evidence:-_x000D_
- Process capability studies to demonstrate that material variations are controlled_x000D_
- That operating conditions are monitored and an escalation process is in place._x000D_
- Operating instructions.  _x000D_
- Monitoring and measuring activities of the process and the product._x000D_
- Availability of competent and trained operations personal _x000D_
- Corrections and actions in response to equipment malfunction or out-of-control or out-of-conformance results.</v>
      </c>
    </row>
    <row r="22" spans="1:10" ht="409.6" thickBot="1">
      <c r="A22" s="7" t="s">
        <v>27</v>
      </c>
      <c r="B22" s="7" t="s">
        <v>72</v>
      </c>
      <c r="C22" s="7" t="s">
        <v>73</v>
      </c>
      <c r="D22" s="8" t="s">
        <v>74</v>
      </c>
      <c r="E22" s="19"/>
      <c r="F22" s="6" t="s">
        <v>250</v>
      </c>
      <c r="G22" s="9"/>
      <c r="I22" s="21" t="str">
        <f t="shared" ref="I22:I74" si="2" xml:space="preserve"> CONCATENATE("Base on the evidence in the knowledge pool, please sumarize in 300  to 500 words how this company meet the requirement on:  ",C22," ", "If available, please summary these ", " ", J22,"If evidence not found, please put 'evidence not found!', all the output should be in normal Text, removing the Markdown format")</f>
        <v>Base on the evidence in the knowledge pool, please sumarize in 300  to 500 words how this company meet the requirement on:  Process verification: The process is verified to confirm that the process achieves the specified product design features. If available, please summary these  _x000D_
Evidence_x000D_
Verification of the Process Monitoring for Food Safety and quality Parameters is done at set frequency_x000D_
Records for the verifications are available (and signed by authorised personnel where required)_x000D_
When applicable, corrective actions are documented_x000D_
- Product non-conformances_x000D_
- Customer complaintsIf evidence not found, please put 'evidence not found!', all the output should be in normal Text, removing the Markdown format</v>
      </c>
      <c r="J22" s="21" t="str">
        <f>SUBSTITUTE(RIGHT(D22,LEN(D22)-FIND("Evidence",D22)+3), "*", "-")</f>
        <v>_x000D_
Evidence_x000D_
Verification of the Process Monitoring for Food Safety and quality Parameters is done at set frequency_x000D_
Records for the verifications are available (and signed by authorised personnel where required)_x000D_
When applicable, corrective actions are documented_x000D_
- Product non-conformances_x000D_
- Customer complaints</v>
      </c>
    </row>
    <row r="23" spans="1:10" ht="409.6" thickBot="1">
      <c r="A23" s="7" t="s">
        <v>27</v>
      </c>
      <c r="B23" s="7" t="s">
        <v>75</v>
      </c>
      <c r="C23" s="7" t="s">
        <v>76</v>
      </c>
      <c r="D23" s="8" t="s">
        <v>77</v>
      </c>
      <c r="E23" s="19"/>
      <c r="F23" s="6" t="s">
        <v>251</v>
      </c>
      <c r="G23" s="9"/>
      <c r="I23" s="21" t="str">
        <f t="shared" si="2"/>
        <v>Base on the evidence in the knowledge pool, please sumarize in 300  to 500 words how this company meet the requirement on:  Supplier Quality Management Program - Risk based program_x000D_
_x000D_
High risk and critical/important goods and services are risk assessed and included in a supplier quality program. If available, please summary these  _x000D_
Evidence :-_x000D_
- Supplier approval process_x000D_
- list of high risk and important/critical goods and services purchased with risk level._x000D_
- that risk level is linked to the supplier qualification and ongoing verification._x000D_
- the relevance and quality of the SQM program elements, including Risk Assessments. _x000D_
- Review of performance data in supplier reviews for key suppliers or badly performing suppliers._x000D_
_x000D_
Pesticides Management Focus:_x000D_
The Supplier's Pesticide Risk Assessment should consider factors such as:_x000D_
_x000D_
a) Sourcing Models: Integrated Farming, District Markets, Hybrid, or Other._x000D_
b) Origin variability: Countries of Harvest (CoH), Growing Regions, and Standardization._x000D_
c) Number of harvest per year (crops from different harvest could be treated differently)._x000D_
d) Historical data, Official alerts._x000D_
e) Upstream Supplier Controls:_x000D_
 -GAP (or equivalent) certification or similar pesticide control practices from farmers._x000D_
 -Information on IPM methods at farms to rationalize chemical usage. Review Agronomy Report, if available._x000D_
 -Adherence to Approved Plant Protection Products list and residue regulations from relevant countries. Review seed distributor documents, field technicians' records, farmers' books and testing results._x000D_
 -Provision of Pesticide Application Guidelines or monitoring of Upstream Supplier/Farmer's Pesticide Control Program. Review relevant documentation, including chemical application instructions, authenticity records, approved chemical lists, calibration records, mapping records, and training records._x000D_
 -Ensuring chemical authenticity_x000D_
 -Traceability and Spray Diary keeping with chemical details, application dates, dosages, and locations._x000D_
 -Implementation of a program to assess pesticide risks from various sources like water, runoff, seed treatment, previous land use, and spray drift from nearby crops. Review available testing._x000D_
  -Calibration of the Equipment used in Chemical Application_x000D_
  -Training Program for farmers and their employees.If evidence not found, please put 'evidence not found!', all the output should be in normal Text, removing the Markdown format</v>
      </c>
      <c r="J23" s="21" t="str">
        <f>SUBSTITUTE(RIGHT(D23,LEN(D23)-FIND("Evidence :",D23)+3), "*", "-")</f>
        <v>_x000D_
Evidence :-_x000D_
- Supplier approval process_x000D_
- list of high risk and important/critical goods and services purchased with risk level._x000D_
- that risk level is linked to the supplier qualification and ongoing verification._x000D_
- the relevance and quality of the SQM program elements, including Risk Assessments. _x000D_
- Review of performance data in supplier reviews for key suppliers or badly performing suppliers._x000D_
_x000D_
Pesticides Management Focus:_x000D_
The Supplier's Pesticide Risk Assessment should consider factors such as:_x000D_
_x000D_
a) Sourcing Models: Integrated Farming, District Markets, Hybrid, or Other._x000D_
b) Origin variability: Countries of Harvest (CoH), Growing Regions, and Standardization._x000D_
c) Number of harvest per year (crops from different harvest could be treated differently)._x000D_
d) Historical data, Official alerts._x000D_
e) Upstream Supplier Controls:_x000D_
 -GAP (or equivalent) certification or similar pesticide control practices from farmers._x000D_
 -Information on IPM methods at farms to rationalize chemical usage. Review Agronomy Report, if available._x000D_
 -Adherence to Approved Plant Protection Products list and residue regulations from relevant countries. Review seed distributor documents, field technicians' records, farmers' books and testing results._x000D_
 -Provision of Pesticide Application Guidelines or monitoring of Upstream Supplier/Farmer's Pesticide Control Program. Review relevant documentation, including chemical application instructions, authenticity records, approved chemical lists, calibration records, mapping records, and training records._x000D_
 -Ensuring chemical authenticity_x000D_
 -Traceability and Spray Diary keeping with chemical details, application dates, dosages, and locations._x000D_
 -Implementation of a program to assess pesticide risks from various sources like water, runoff, seed treatment, previous land use, and spray drift from nearby crops. Review available testing._x000D_
  -Calibration of the Equipment used in Chemical Application_x000D_
  -Training Program for farmers and their employees.</v>
      </c>
    </row>
    <row r="24" spans="1:10" ht="409.6" thickBot="1">
      <c r="A24" s="7" t="s">
        <v>27</v>
      </c>
      <c r="B24" s="7" t="s">
        <v>78</v>
      </c>
      <c r="C24" s="7" t="s">
        <v>79</v>
      </c>
      <c r="D24" s="8" t="s">
        <v>80</v>
      </c>
      <c r="E24" s="19"/>
      <c r="F24" s="6" t="s">
        <v>252</v>
      </c>
      <c r="G24" s="9"/>
      <c r="I24" s="21" t="str">
        <f t="shared" si="2"/>
        <v>Base on the evidence in the knowledge pool, please sumarize in 300  to 500 words how this company meet the requirement on:  Supplier Quality Management Program - Specified and verified_x000D_
_x000D_
The goods and services in the supplier quality program are specified and verified as meeting specification. If available, please summary these  _x000D_
Evidence include :-_x000D_
- Specifications available for all critical materials /product and services purchased by the supplier._x000D_
- Delivery vehicles are checked on receipt to verify that the Q&amp;FS of the materials / products has been maintained during transit, including transportation temperatures and security._x000D_
- A good / services verification process, including; Receivals process, sampling, testing, COA/COC check, Q&amp;FS audit utilised. The method of verification is documented.  _x000D_
- Access points to bulk is based on the risk assessment for supplier and material._x000D_
- 3rd party lab services_x000D_
- That specifications includes scope / accreditation required_x000D_
- Supplier non-conformance measurement (record of incidents, database or spreadsheet to capture data, evidence of CAPA follow up with supplier, target KPIs in place)._x000D_
_x000D_
Pesticides Management Focus_x000D_
- Is the Residue Verification Program based on a thorough Pesticide Risk Assessment?_x000D_
- Is testing frequency aligned with the risk assessment? (Varies based on supply chain integration and upstream control)._x000D_
- Are verifications conducted promptly post-harvest?_x000D_
- Is testing conducted in an accredited lab (e.g., ISO 17025)?_x000D_
- Do lab methods fall within the accreditation scope?_x000D_
- Are detection methods sensitive enough to demonstarte compliance with Maximum Residue Limits? (Check LoQ)_x000D_
- Does the screener cover all relevant residues?_x000D_
- Are banned chemicals in specific regions included in verification activities?  (e.g., Ethylene Oxide, Fipronil, Glyphosate)_x000D_
_x000D_
Does the supplier assess risks from processing/storage/transportation chemicals for testing necessity and frequency? _x000D_
-Consult regional bans and emerging risks with S&amp;RA Teams.If evidence not found, please put 'evidence not found!', all the output should be in normal Text, removing the Markdown format</v>
      </c>
      <c r="J24" s="21" t="str">
        <f>SUBSTITUTE(RIGHT(D24,LEN(D24)-FIND("Evidence",D24)+3), "*", "-")</f>
        <v>_x000D_
Evidence include :-_x000D_
- Specifications available for all critical materials /product and services purchased by the supplier._x000D_
- Delivery vehicles are checked on receipt to verify that the Q&amp;FS of the materials / products has been maintained during transit, including transportation temperatures and security._x000D_
- A good / services verification process, including; Receivals process, sampling, testing, COA/COC check, Q&amp;FS audit utilised. The method of verification is documented.  _x000D_
- Access points to bulk is based on the risk assessment for supplier and material._x000D_
- 3rd party lab services_x000D_
- That specifications includes scope / accreditation required_x000D_
- Supplier non-conformance measurement (record of incidents, database or spreadsheet to capture data, evidence of CAPA follow up with supplier, target KPIs in place)._x000D_
_x000D_
Pesticides Management Focus_x000D_
- Is the Residue Verification Program based on a thorough Pesticide Risk Assessment?_x000D_
- Is testing frequency aligned with the risk assessment? (Varies based on supply chain integration and upstream control)._x000D_
- Are verifications conducted promptly post-harvest?_x000D_
- Is testing conducted in an accredited lab (e.g., ISO 17025)?_x000D_
- Do lab methods fall within the accreditation scope?_x000D_
- Are detection methods sensitive enough to demonstarte compliance with Maximum Residue Limits? (Check LoQ)_x000D_
- Does the screener cover all relevant residues?_x000D_
- Are banned chemicals in specific regions included in verification activities?  (e.g., Ethylene Oxide, Fipronil, Glyphosate)_x000D_
_x000D_
Does the supplier assess risks from processing/storage/transportation chemicals for testing necessity and frequency? _x000D_
-Consult regional bans and emerging risks with S&amp;RA Teams.</v>
      </c>
    </row>
    <row r="25" spans="1:10" ht="409.6" thickBot="1">
      <c r="A25" s="7" t="s">
        <v>27</v>
      </c>
      <c r="B25" s="7" t="s">
        <v>81</v>
      </c>
      <c r="C25" s="7" t="s">
        <v>82</v>
      </c>
      <c r="D25" s="8" t="s">
        <v>83</v>
      </c>
      <c r="E25" s="19"/>
      <c r="F25" s="6" t="s">
        <v>253</v>
      </c>
      <c r="G25" s="9"/>
      <c r="I25" s="21" t="str">
        <f t="shared" si="2"/>
        <v>Base on the evidence in the knowledge pool, please sumarize in 300  to 500 words how this company meet the requirement on:  Mars Property_x000D_
_x000D_
Appropriate care is taken for Mars property (incl. Intellectual Property, Equipment &amp; Information). If available, please summary these  _x000D_
Evidence:-_x000D_
- Mars specifications and other Mars documents.  , and review who has access, how are those distributed._x000D_
- Check if any Mars Technology is with the supplier.  Confirm that controls are in place._x000D_
- Are Mars ingredients used and safeguarded.If evidence not found, please put 'evidence not found!', all the output should be in normal Text, removing the Markdown format</v>
      </c>
      <c r="J25" s="21" t="str">
        <f t="shared" si="1"/>
        <v>_x000D_
Evidence:-_x000D_
- Mars specifications and other Mars documents.  , and review who has access, how are those distributed._x000D_
- Check if any Mars Technology is with the supplier.  Confirm that controls are in place._x000D_
- Are Mars ingredients used and safeguarded.</v>
      </c>
    </row>
    <row r="26" spans="1:10" ht="409.6" thickBot="1">
      <c r="A26" s="7" t="s">
        <v>27</v>
      </c>
      <c r="B26" s="7" t="s">
        <v>84</v>
      </c>
      <c r="C26" s="7" t="s">
        <v>85</v>
      </c>
      <c r="D26" s="8" t="s">
        <v>86</v>
      </c>
      <c r="E26" s="19"/>
      <c r="F26" s="6" t="s">
        <v>254</v>
      </c>
      <c r="G26" s="9"/>
      <c r="I26" s="21" t="str">
        <f t="shared" si="2"/>
        <v>Base on the evidence in the knowledge pool, please sumarize in 300  to 500 words how this company meet the requirement on:  Change Management_x000D_
A process is in place to effectively assess and control changes that may impact Q&amp;FS. If available, please summary these  _x000D_
Evidence:- _x000D_
- Risk Assessments for changes to process, procedure, ingredients, suppliers, personnel, etc., that could impact product performance._x000D_
- HACCP team (Food Safety Plan) meeting minutes._x000D_
- HACCP team (Food Safety Plan) sign-off (Change management documentation)_x000D_
- Trial procedure and trial documentation._x000D_
- Commissioning reports._x000D_
- Change Management procedure includes: risk assessment process, procedure, ingredients, suppliers, personnel_x000D_
- Records for the completed actions defined to implement the changes (e.g. training, new equipment testing, changes in procedures)_x000D_
- Confirm that changes that impact traceability are assessed.If evidence not found, please put 'evidence not found!', all the output should be in normal Text, removing the Markdown format</v>
      </c>
      <c r="J26" s="21" t="str">
        <f t="shared" si="1"/>
        <v>_x000D_
Evidence:- _x000D_
- Risk Assessments for changes to process, procedure, ingredients, suppliers, personnel, etc., that could impact product performance._x000D_
- HACCP team (Food Safety Plan) meeting minutes._x000D_
- HACCP team (Food Safety Plan) sign-off (Change management documentation)_x000D_
- Trial procedure and trial documentation._x000D_
- Commissioning reports._x000D_
- Change Management procedure includes: risk assessment process, procedure, ingredients, suppliers, personnel_x000D_
- Records for the completed actions defined to implement the changes (e.g. training, new equipment testing, changes in procedures)_x000D_
- Confirm that changes that impact traceability are assessed.</v>
      </c>
    </row>
    <row r="27" spans="1:10" ht="409.6" thickBot="1">
      <c r="A27" s="7" t="s">
        <v>27</v>
      </c>
      <c r="B27" s="7" t="s">
        <v>87</v>
      </c>
      <c r="C27" s="7" t="s">
        <v>88</v>
      </c>
      <c r="D27" s="8" t="s">
        <v>89</v>
      </c>
      <c r="E27" s="19"/>
      <c r="F27" s="6" t="s">
        <v>255</v>
      </c>
      <c r="G27" s="9"/>
      <c r="I27" s="21" t="str">
        <f t="shared" si="2"/>
        <v>Base on the evidence in the knowledge pool, please sumarize in 300  to 500 words how this company meet the requirement on:  Release of products / services_x000D_
_x000D_
The goods / services meet specification prior to release to Mars. If available, please summary these  _x000D_
Evidence:-_x000D_
- Confirm the material Q&amp;FS is monitored and measured against a defined plan._x000D_
- Check that there is a clear sampling plan defining the number of samples to be tested, the sampling method and frequency. _x000D_
- Confirm that the targets and tolerances are aligned with the Mars specifications. _x000D_
- Confirm actions taken following any non conformances (e.g. Hold and Release procedures)._x000D_
-records of conformance , including authorisation of release where applicableIf evidence not found, please put 'evidence not found!', all the output should be in normal Text, removing the Markdown format</v>
      </c>
      <c r="J27" s="21" t="str">
        <f t="shared" si="1"/>
        <v>_x000D_
Evidence:-_x000D_
- Confirm the material Q&amp;FS is monitored and measured against a defined plan._x000D_
- Check that there is a clear sampling plan defining the number of samples to be tested, the sampling method and frequency. _x000D_
- Confirm that the targets and tolerances are aligned with the Mars specifications. _x000D_
- Confirm actions taken following any non conformances (e.g. Hold and Release procedures)._x000D_
-records of conformance , including authorisation of release where applicable</v>
      </c>
    </row>
    <row r="28" spans="1:10" ht="409.6" thickBot="1">
      <c r="A28" s="7" t="s">
        <v>27</v>
      </c>
      <c r="B28" s="7" t="s">
        <v>90</v>
      </c>
      <c r="C28" s="7" t="s">
        <v>91</v>
      </c>
      <c r="D28" s="8" t="s">
        <v>92</v>
      </c>
      <c r="E28" s="19"/>
      <c r="F28" s="6" t="s">
        <v>256</v>
      </c>
      <c r="G28" s="9"/>
      <c r="I28" s="21" t="str">
        <f t="shared" si="2"/>
        <v>Base on the evidence in the knowledge pool, please sumarize in 300  to 500 words how this company meet the requirement on:  "Control of Non-conforming material _x000D_
Ensure that non conforming material  is controlled to prevent its unintended use or delivery." If available, please summary these  _x000D_
Evidence include _x000D_
-Check that procedure to manage NC product is documented and meet requirements listed above_x000D_
-Check that NC are track _x000D_
-Check that disposition are properly documented_x000D_
During factory tour_x000D_
-Check NC product identification and segregationIf evidence not found, please put 'evidence not found!', all the output should be in normal Text, removing the Markdown format</v>
      </c>
      <c r="J28" s="21" t="str">
        <f>SUBSTITUTE(RIGHT(D28,LEN(D28)-FIND("Evidence",D28)+3), "*", "-")</f>
        <v>_x000D_
Evidence include _x000D_
-Check that procedure to manage NC product is documented and meet requirements listed above_x000D_
-Check that NC are track _x000D_
-Check that disposition are properly documented_x000D_
During factory tour_x000D_
-Check NC product identification and segregation</v>
      </c>
    </row>
    <row r="29" spans="1:10" ht="409.6" thickBot="1">
      <c r="A29" s="7" t="s">
        <v>27</v>
      </c>
      <c r="B29" s="7" t="s">
        <v>93</v>
      </c>
      <c r="C29" s="7" t="s">
        <v>94</v>
      </c>
      <c r="D29" s="8" t="s">
        <v>95</v>
      </c>
      <c r="E29" s="19"/>
      <c r="F29" s="6" t="s">
        <v>257</v>
      </c>
      <c r="G29" s="9"/>
      <c r="I29" s="21" t="str">
        <f t="shared" si="2"/>
        <v>Base on the evidence in the knowledge pool, please sumarize in 300  to 500 words how this company meet the requirement on:  Q&amp;FS  Incident management and recall_x000D_
_x000D_
The supplier has established effective processes to manage Q&amp;FS incidents, including  personnel with the authority to initiate a recall and responsible for its execution. If available, please summary these  _x000D_
Evidence include :-_x000D_
- Validation records of the plan _x000D_
The site should have a procedure to transfer business to a back up site in case of an emergency._x000D_
The supplier must have a critical incident management process to manage any product non conformance issues identified either during production or after the product has been released to the customer, to include a documented recall procedure. The procedure should identify scope and severity of any incident, who has the authority to initiate a recall, personnel responsible for executing the withdrawal, documentation and communication of the recall itself, requirements for internal and external contacts (incl. Mars), the sequence of events to be followed &amp; handling and control of the withdrawn materials at risk and those in stock._x000D_
- Critical Incident Management process_x000D_
- Documented recall procedure_x000D_
- Records of testing the recall procedure_x000D_
Review CAPA's opened for learnings from incident management and mock recall simulation. _x000D_
- Emergency plans and training on the emergency plan to be conducted in annual bases, to include key stakeholders involved in the foreseeable emergenciesIf evidence not found, please put 'evidence not found!', all the output should be in normal Text, removing the Markdown format</v>
      </c>
      <c r="J29" s="21" t="str">
        <f>SUBSTITUTE(RIGHT(D29,LEN(D29)-FIND("Evidence",D29)+3), "*", "-")</f>
        <v>_x000D_
Evidence include :-_x000D_
- Validation records of the plan _x000D_
The site should have a procedure to transfer business to a back up site in case of an emergency._x000D_
The supplier must have a critical incident management process to manage any product non conformance issues identified either during production or after the product has been released to the customer, to include a documented recall procedure. The procedure should identify scope and severity of any incident, who has the authority to initiate a recall, personnel responsible for executing the withdrawal, documentation and communication of the recall itself, requirements for internal and external contacts (incl. Mars), the sequence of events to be followed &amp; handling and control of the withdrawn materials at risk and those in stock._x000D_
- Critical Incident Management process_x000D_
- Documented recall procedure_x000D_
- Records of testing the recall procedure_x000D_
Review CAPA's opened for learnings from incident management and mock recall simulation. _x000D_
- Emergency plans and training on the emergency plan to be conducted in annual bases, to include key stakeholders involved in the foreseeable emergencies</v>
      </c>
    </row>
    <row r="30" spans="1:10" ht="409.6" thickBot="1">
      <c r="A30" s="7" t="s">
        <v>96</v>
      </c>
      <c r="B30" s="7" t="s">
        <v>97</v>
      </c>
      <c r="C30" s="7" t="s">
        <v>98</v>
      </c>
      <c r="D30" s="8" t="s">
        <v>99</v>
      </c>
      <c r="E30" s="19"/>
      <c r="F30" s="6" t="s">
        <v>258</v>
      </c>
      <c r="G30" s="9"/>
      <c r="I30" s="21" t="str">
        <f t="shared" si="2"/>
        <v>Base on the evidence in the knowledge pool, please sumarize in 300  to 500 words how this company meet the requirement on:  Time bound Product Traceability_x000D_
_x000D_
A time bound traceability system is in place that enables the identification of production lots and the relationship to the materials  used to produce them. If available, please summary these  _x000D_
Evidence:-_x000D_
- Run a traceability exercise on a production lot back to all raw materials,  Check the information can be found within 4 hours._x000D_
If it fails, are there corrective actions documented ,and CA verified for effectiveness_x000D_
- Run a traceability exercise on one batch or raw material to trace all the finished material  which used this material batch. Best practise is to widen the scope of the traceability exercise to include raw material , packaging, rework, process aids , destroyed products , finished products ( as applicable)  Certificates of Analysis, inbound checks, etc._x000D_
- Review effectiveness of CAPA from trace exercise_x000D_
- evidence that  lots numbers are uniquely identified to identify lot and allow  traceability _x000D_
- The supplier quality management program must include confirmation of their suppliers traceability program e.g. via audit question, 3rd party audit and a practical trace exercise._x000D_
- Confirm the correct batch details on inbound materials /products are recorded._x000D_
- Check records exist for a time period of minimum of the shelf life of the material /product + shelf life of Mars product, and is compliant with legal requirements._x000D_
- Check any legal requirements are met for record keeping._x000D_
- Check supplier maintains  retained samples as per the standard  industry requirements and / or  meet the requirements of  Mars  (when defined)If evidence not found, please put 'evidence not found!', all the output should be in normal Text, removing the Markdown format</v>
      </c>
      <c r="J30" s="21" t="str">
        <f t="shared" si="1"/>
        <v>_x000D_
Evidence:-_x000D_
- Run a traceability exercise on a production lot back to all raw materials,  Check the information can be found within 4 hours._x000D_
If it fails, are there corrective actions documented ,and CA verified for effectiveness_x000D_
- Run a traceability exercise on one batch or raw material to trace all the finished material  which used this material batch. Best practise is to widen the scope of the traceability exercise to include raw material , packaging, rework, process aids , destroyed products , finished products ( as applicable)  Certificates of Analysis, inbound checks, etc._x000D_
- Review effectiveness of CAPA from trace exercise_x000D_
- evidence that  lots numbers are uniquely identified to identify lot and allow  traceability _x000D_
- The supplier quality management program must include confirmation of their suppliers traceability program e.g. via audit question, 3rd party audit and a practical trace exercise._x000D_
- Confirm the correct batch details on inbound materials /products are recorded._x000D_
- Check records exist for a time period of minimum of the shelf life of the material /product + shelf life of Mars product, and is compliant with legal requirements._x000D_
- Check any legal requirements are met for record keeping._x000D_
- Check supplier maintains  retained samples as per the standard  industry requirements and / or  meet the requirements of  Mars  (when defined)</v>
      </c>
    </row>
    <row r="31" spans="1:10" ht="409.6" thickBot="1">
      <c r="A31" s="7" t="s">
        <v>27</v>
      </c>
      <c r="B31" s="7" t="s">
        <v>100</v>
      </c>
      <c r="C31" s="7" t="s">
        <v>101</v>
      </c>
      <c r="D31" s="8" t="s">
        <v>102</v>
      </c>
      <c r="E31" s="19"/>
      <c r="F31" s="6" t="s">
        <v>259</v>
      </c>
      <c r="G31" s="9"/>
      <c r="I31" s="21" t="str">
        <f t="shared" si="2"/>
        <v>Base on the evidence in the knowledge pool, please sumarize in 300  to 500 words how this company meet the requirement on:  Production lot identification_x000D_
Each lot of produced material /product must have an identification number (applied consistently to all discrete units within the lot) that enables traceability. If available, please summary these  _x000D_
Evidence :Visually confirm that materials  /product at the supplier are uniquely numbered  in a way that identifies each lot and allows traceability."If evidence not found, please put 'evidence not found!', all the output should be in normal Text, removing the Markdown format</v>
      </c>
      <c r="J31" s="21" t="str">
        <f>SUBSTITUTE(RIGHT(D31,LEN(D31)-FIND("Evidence",D31)+3), "*", "-")</f>
        <v>_x000D_
Evidence :Visually confirm that materials  /product at the supplier are uniquely numbered  in a way that identifies each lot and allows traceability."</v>
      </c>
    </row>
    <row r="32" spans="1:10" ht="409.6" thickBot="1">
      <c r="A32" s="7" t="s">
        <v>27</v>
      </c>
      <c r="B32" s="7" t="s">
        <v>103</v>
      </c>
      <c r="C32" s="7" t="s">
        <v>104</v>
      </c>
      <c r="D32" s="8" t="s">
        <v>105</v>
      </c>
      <c r="E32" s="19"/>
      <c r="F32" s="6" t="s">
        <v>260</v>
      </c>
      <c r="G32" s="9"/>
      <c r="I32" s="21" t="str">
        <f t="shared" si="2"/>
        <v>Base on the evidence in the knowledge pool, please sumarize in 300  to 500 words how this company meet the requirement on:  Traceability for  identify preservation _x000D_
A process for all materials requiring identity to be maintained for claims is followed If available, please summary these  _x000D_
Evidence:_x000D_
When applicable request_x000D_
- Kosher, Halal, Organic certifications _x000D_
- Evidence for GMO free_x000D_
- Records test results for Gluten free_x000D_
_x000D_
.If evidence not found, please put 'evidence not found!', all the output should be in normal Text, removing the Markdown format</v>
      </c>
      <c r="J32" s="21" t="str">
        <f t="shared" si="1"/>
        <v>_x000D_
Evidence:_x000D_
When applicable request_x000D_
- Kosher, Halal, Organic certifications _x000D_
- Evidence for GMO free_x000D_
- Records test results for Gluten free_x000D_
_x000D_
.</v>
      </c>
    </row>
    <row r="33" spans="1:10" ht="409.6" thickBot="1">
      <c r="A33" s="7" t="s">
        <v>106</v>
      </c>
      <c r="B33" s="7" t="s">
        <v>107</v>
      </c>
      <c r="C33" s="7" t="s">
        <v>108</v>
      </c>
      <c r="D33" s="8" t="s">
        <v>109</v>
      </c>
      <c r="E33" s="19"/>
      <c r="F33" s="6" t="s">
        <v>261</v>
      </c>
      <c r="G33" s="9"/>
      <c r="I33" s="21" t="str">
        <f t="shared" si="2"/>
        <v>Base on the evidence in the knowledge pool, please sumarize in 300  to 500 words how this company meet the requirement on:  PRP's Program_x000D_
_x000D_
A food safety program is in place with pre-requisite programs that are appropriate to the nature size and type  of the operation to maintain food hygiene If available, please summary these  _x000D_
Evidence:-_x000D_
-The Mars MRA/PRA/EMPRA should be used to assess the PRPs and other controls necessary to maintain the hygienic environment for the production of the Mars material / product."If evidence not found, please put 'evidence not found!', all the output should be in normal Text, removing the Markdown format</v>
      </c>
      <c r="J33" s="21" t="str">
        <f t="shared" si="1"/>
        <v>_x000D_
Evidence:-_x000D_
-The Mars MRA/PRA/EMPRA should be used to assess the PRPs and other controls necessary to maintain the hygienic environment for the production of the Mars material / product."</v>
      </c>
    </row>
    <row r="34" spans="1:10" ht="409.6" thickBot="1">
      <c r="A34" s="7" t="s">
        <v>27</v>
      </c>
      <c r="B34" s="7" t="s">
        <v>110</v>
      </c>
      <c r="C34" s="7" t="s">
        <v>111</v>
      </c>
      <c r="D34" s="8" t="s">
        <v>112</v>
      </c>
      <c r="E34" s="19"/>
      <c r="F34" s="6" t="s">
        <v>262</v>
      </c>
      <c r="G34" s="9"/>
      <c r="I34" s="21" t="str">
        <f t="shared" si="2"/>
        <v>Base on the evidence in the knowledge pool, please sumarize in 300  to 500 words how this company meet the requirement on:  Product description_x000D_
_x000D_
All raw materials, product-contact materials and finished products are defined to enable a complete hazard analysis. If available, please summary these  _x000D_
Evidence _x000D_
Review Customer, Client and Consumer feedback to verify that product or service integrity is under control._x000D_
Review Product - Materials description part of the HACCP program to ensure meet the requirements listed aboveIf evidence not found, please put 'evidence not found!', all the output should be in normal Text, removing the Markdown format</v>
      </c>
      <c r="J34" s="21" t="str">
        <f>SUBSTITUTE(RIGHT(D34,LEN(D34)-FIND("Evidence",D34)+3), "*", "-")</f>
        <v>_x000D_
Evidence _x000D_
Review Customer, Client and Consumer feedback to verify that product or service integrity is under control._x000D_
Review Product - Materials description part of the HACCP program to ensure meet the requirements listed above</v>
      </c>
    </row>
    <row r="35" spans="1:10" ht="409.6" thickBot="1">
      <c r="A35" s="7" t="s">
        <v>27</v>
      </c>
      <c r="B35" s="7" t="s">
        <v>113</v>
      </c>
      <c r="C35" s="7" t="s">
        <v>114</v>
      </c>
      <c r="D35" s="8" t="s">
        <v>115</v>
      </c>
      <c r="E35" s="19"/>
      <c r="F35" s="6" t="s">
        <v>263</v>
      </c>
      <c r="G35" s="9"/>
      <c r="I35" s="21" t="str">
        <f t="shared" si="2"/>
        <v>Base on the evidence in the knowledge pool, please sumarize in 300  to 500 words how this company meet the requirement on:  Intended use &amp; consumer(s)_x000D_
_x000D_
The Food Safety Management programme must consider the groups of consumers and the intended use of the product in the risk assessment. If available, please summary these  _x000D_
Evidence_x000D_
Review Product - Materials  intended use description _x000D_
Ask supplier how is this communicated to Mars, report brief description of the process and person notifiedIf evidence not found, please put 'evidence not found!', all the output should be in normal Text, removing the Markdown format</v>
      </c>
      <c r="J35" s="21" t="str">
        <f>SUBSTITUTE(RIGHT(D35,LEN(D35)-FIND("Evidence",D35)+3), "*", "-")</f>
        <v>_x000D_
Evidence_x000D_
Review Product - Materials  intended use description _x000D_
Ask supplier how is this communicated to Mars, report brief description of the process and person notified</v>
      </c>
    </row>
    <row r="36" spans="1:10" ht="409.6" thickBot="1">
      <c r="A36" s="7" t="s">
        <v>27</v>
      </c>
      <c r="B36" s="7" t="s">
        <v>116</v>
      </c>
      <c r="C36" s="7" t="s">
        <v>117</v>
      </c>
      <c r="D36" s="8" t="s">
        <v>118</v>
      </c>
      <c r="E36" s="19"/>
      <c r="F36" s="6" t="s">
        <v>264</v>
      </c>
      <c r="G36" s="9"/>
      <c r="I36" s="21" t="str">
        <f t="shared" si="2"/>
        <v>Base on the evidence in the knowledge pool, please sumarize in 300  to 500 words how this company meet the requirement on:  HACCP (Food Safety Plan) team_x000D_
_x000D_
The hazard analysis is carried out by a competent team and is informed by the process flow of the material /product, facilities layout, production flow steps and control measures that impact food safety. If available, please summary these  _x000D_
Evidence:-_x000D_
- Training records for the team members and their knowledge &amp; experience need to be demonstrated. _x000D_
_x000D_
The hazard analysis needs to include a documented factory layout including all facilities that are part of the infrastructure of the site (production lines, storage areas, utilities and personnel facilities) and routing of products, personnel and air flows (where applicable)._x000D_
 _x000D_
The supplier must have flow diagrams covering all products in their food safety management programme. _x000D_
_x000D_
Materials / Products can be grouped in product categories if it does not negatively affect the clarity, accuracy and sufficient level of detail._x000D_
_x000D_
Evidence:-_x000D_
- Flow diagrams (including outsourced or subcontracted work, purchasing of raw materials, ingredients and intermediate products, reworking and recycling, removal of end products, intermediate products, by-products, waste.  _x000D_
- External requirements that may impact control measures should be identified._x000D_
- Confirm the accuracy of the flow diagram during the facilities visit.  _x000D_
- Check that the hazard analysis and flow diagrams are maintained as a controlled document.If evidence not found, please put 'evidence not found!', all the output should be in normal Text, removing the Markdown format</v>
      </c>
      <c r="J36" s="21" t="str">
        <f t="shared" si="1"/>
        <v>_x000D_
Evidence:-_x000D_
- Training records for the team members and their knowledge &amp; experience need to be demonstrated. _x000D_
_x000D_
The hazard analysis needs to include a documented factory layout including all facilities that are part of the infrastructure of the site (production lines, storage areas, utilities and personnel facilities) and routing of products, personnel and air flows (where applicable)._x000D_
 _x000D_
The supplier must have flow diagrams covering all products in their food safety management programme. _x000D_
_x000D_
Materials / Products can be grouped in product categories if it does not negatively affect the clarity, accuracy and sufficient level of detail._x000D_
_x000D_
Evidence:-_x000D_
- Flow diagrams (including outsourced or subcontracted work, purchasing of raw materials, ingredients and intermediate products, reworking and recycling, removal of end products, intermediate products, by-products, waste.  _x000D_
- External requirements that may impact control measures should be identified._x000D_
- Confirm the accuracy of the flow diagram during the facilities visit.  _x000D_
- Check that the hazard analysis and flow diagrams are maintained as a controlled document.</v>
      </c>
    </row>
    <row r="37" spans="1:10" ht="409.6" thickBot="1">
      <c r="A37" s="7" t="s">
        <v>27</v>
      </c>
      <c r="B37" s="7" t="s">
        <v>119</v>
      </c>
      <c r="C37" s="7" t="s">
        <v>120</v>
      </c>
      <c r="D37" s="8" t="s">
        <v>121</v>
      </c>
      <c r="E37" s="19"/>
      <c r="F37" s="6" t="s">
        <v>265</v>
      </c>
      <c r="G37" s="9"/>
      <c r="I37" s="21" t="str">
        <f t="shared" si="2"/>
        <v>Base on the evidence in the knowledge pool, please sumarize in 300  to 500 words how this company meet the requirement on:  Hazard Identification_x000D_
_x000D_
All the food safety hazards that can reasonably occur have been identified. If available, please summary these  The food safety hazards that are reasonably expected to occur based on the internal information (product characteristics, intended use, factory layout, product flow, potential cross contamination control measures) must be identified and recorded, as well as the step(s) at which it may be introduced. _x000D_
_x000D_
The identification must include, when applicable, information from customers, including Mars, or the food chain on food safety hazards that may be of relevance._x000D_
_x000D_
For each hazard identified, the acceptable level of the hazard in the end product must be determined whenever possible, taking into account statutory and regulatory requirements and customer food safety requirements, the intended use by the customer and other relevant data. _x000D_
_x000D_
The result of the determination and its justification must be recorded.If evidence not found, please put 'evidence not found!', all the output should be in normal Text, removing the Markdown format</v>
      </c>
      <c r="J37" s="21" t="str">
        <f>D37</f>
        <v>The food safety hazards that are reasonably expected to occur based on the internal information (product characteristics, intended use, factory layout, product flow, potential cross contamination control measures) must be identified and recorded, as well as the step(s) at which it may be introduced. _x000D_
_x000D_
The identification must include, when applicable, information from customers, including Mars, or the food chain on food safety hazards that may be of relevance._x000D_
_x000D_
For each hazard identified, the acceptable level of the hazard in the end product must be determined whenever possible, taking into account statutory and regulatory requirements and customer food safety requirements, the intended use by the customer and other relevant data. _x000D_
_x000D_
The result of the determination and its justification must be recorded.</v>
      </c>
    </row>
    <row r="38" spans="1:10" ht="409.6" thickBot="1">
      <c r="A38" s="7" t="s">
        <v>27</v>
      </c>
      <c r="B38" s="7" t="s">
        <v>122</v>
      </c>
      <c r="C38" s="7" t="s">
        <v>123</v>
      </c>
      <c r="D38" s="8" t="s">
        <v>124</v>
      </c>
      <c r="E38" s="19"/>
      <c r="F38" s="6" t="s">
        <v>266</v>
      </c>
      <c r="G38" s="9"/>
      <c r="I38" s="21" t="str">
        <f t="shared" si="2"/>
        <v>Base on the evidence in the knowledge pool, please sumarize in 300  to 500 words how this company meet the requirement on:  Hazard Significance_x000D_
_x000D_
A hazard assessment confirms the hazards that can be present and assesses the significance of each hazard. If available, please summary these  _x000D_
Evidence to be seen documented in the hazard analysis:-_x000D_
- Check for all the hazards identified, that the LoO and SoE is assessed against documented criteria. _x000D_
- Check the criteria used to rate the LoO and SoE are aligned with Mars expectations_x000D_
- Check the methodology used to combine the LoO and SoE to give an overall hazard significance is documented and based on sound principles.If evidence not found, please put 'evidence not found!', all the output should be in normal Text, removing the Markdown format</v>
      </c>
      <c r="J38" s="21" t="str">
        <f>SUBSTITUTE(RIGHT(D38,LEN(D38)-FIND("Evidence",D38)+3), "*", "-")</f>
        <v>_x000D_
Evidence to be seen documented in the hazard analysis:-_x000D_
- Check for all the hazards identified, that the LoO and SoE is assessed against documented criteria. _x000D_
- Check the criteria used to rate the LoO and SoE are aligned with Mars expectations_x000D_
- Check the methodology used to combine the LoO and SoE to give an overall hazard significance is documented and based on sound principles.</v>
      </c>
    </row>
    <row r="39" spans="1:10" ht="409.6" thickBot="1">
      <c r="A39" s="7" t="s">
        <v>27</v>
      </c>
      <c r="B39" s="7" t="s">
        <v>125</v>
      </c>
      <c r="C39" s="7" t="s">
        <v>126</v>
      </c>
      <c r="D39" s="8" t="s">
        <v>127</v>
      </c>
      <c r="E39" s="19"/>
      <c r="F39" s="6" t="s">
        <v>267</v>
      </c>
      <c r="G39" s="9"/>
      <c r="I39" s="21" t="str">
        <f t="shared" si="2"/>
        <v>Base on the evidence in the knowledge pool, please sumarize in 300  to 500 words how this company meet the requirement on:  Has a control been defined?_x000D_
_x000D_
Control measures are implemented to eliminate  food safety hazards  in the finished product. If available, please summary these  Control measures required for the elimination/reduction of significant food safety hazards to acceptable levels must be documented._x000D_
_x000D_
Eliminated equates to reduce to acceptable levels which will vary hazard by hazard. Confirm that each eliminated is justified._x000D_
_x000D_
The control measures selected must be categorised as to whether they need to be managed as Critical Control Points. _x000D_
_x000D_
The selection and categorisation must be carried out using a logical approach._x000D_
The methodology and parameters used for this categorisation must be documented and the results of the assessment recorded.If evidence not found, please put 'evidence not found!', all the output should be in normal Text, removing the Markdown format</v>
      </c>
      <c r="J39" s="21" t="str">
        <f>D39</f>
        <v>Control measures required for the elimination/reduction of significant food safety hazards to acceptable levels must be documented._x000D_
_x000D_
Eliminated equates to reduce to acceptable levels which will vary hazard by hazard. Confirm that each eliminated is justified._x000D_
_x000D_
The control measures selected must be categorised as to whether they need to be managed as Critical Control Points. _x000D_
_x000D_
The selection and categorisation must be carried out using a logical approach._x000D_
The methodology and parameters used for this categorisation must be documented and the results of the assessment recorded.</v>
      </c>
    </row>
    <row r="40" spans="1:10" ht="409.6" thickBot="1">
      <c r="A40" s="7" t="s">
        <v>27</v>
      </c>
      <c r="B40" s="7" t="s">
        <v>128</v>
      </c>
      <c r="C40" s="7" t="s">
        <v>129</v>
      </c>
      <c r="D40" s="8" t="s">
        <v>130</v>
      </c>
      <c r="E40" s="19"/>
      <c r="F40" s="6" t="s">
        <v>268</v>
      </c>
      <c r="G40" s="9"/>
      <c r="I40" s="21" t="str">
        <f t="shared" si="2"/>
        <v>Base on the evidence in the knowledge pool, please sumarize in 300  to 500 words how this company meet the requirement on:  Controls that are not measured in real time  have been identified and implemented to mitigate significant food safety hazards If available, please summary these  _x000D_
Evidence_x000D_
-Check how many OPRP's and/or CP's suppliers has defined, and the responsible to monitor those_x000D_
-Check that validation for each OPRP and  CP are available_x000D_
-Check that records for all OPRP's and CP's are documented_x000D_
-Check that corrective actions are implemented when a deviation of any OPRP or CP are properly documented and implemented "_x000D_
action  process in place.If evidence not found, please put 'evidence not found!', all the output should be in normal Text, removing the Markdown format</v>
      </c>
      <c r="J40" s="21" t="str">
        <f>SUBSTITUTE(RIGHT(D40,LEN(D40)-FIND("Evidence",D40)+3), "*", "-")</f>
        <v>_x000D_
Evidence_x000D_
-Check how many OPRP's and/or CP's suppliers has defined, and the responsible to monitor those_x000D_
-Check that validation for each OPRP and  CP are available_x000D_
-Check that records for all OPRP's and CP's are documented_x000D_
-Check that corrective actions are implemented when a deviation of any OPRP or CP are properly documented and implemented "_x000D_
action  process in place.</v>
      </c>
    </row>
    <row r="41" spans="1:10" ht="409.6" thickBot="1">
      <c r="A41" s="7" t="s">
        <v>27</v>
      </c>
      <c r="B41" s="7" t="s">
        <v>131</v>
      </c>
      <c r="C41" s="7" t="s">
        <v>132</v>
      </c>
      <c r="D41" s="8" t="s">
        <v>133</v>
      </c>
      <c r="E41" s="19"/>
      <c r="F41" s="6" t="s">
        <v>269</v>
      </c>
      <c r="G41" s="9"/>
      <c r="I41" s="21" t="str">
        <f t="shared" si="2"/>
        <v>Base on the evidence in the knowledge pool, please sumarize in 300  to 500 words how this company meet the requirement on:  CCP program in place_x000D_
_x000D_
Critical control points (CCP's) have been identified and implemented to mitigate FS hazards. If available, please summary these  _x000D_
Evidence include _x000D_
-Check that for each CCP defined the following is defined:_x000D_
- What is measure? Who is responsible for measure it? What is the Method used? How often it is monitored, verified and validated? What are the limits?If evidence not found, please put 'evidence not found!', all the output should be in normal Text, removing the Markdown format</v>
      </c>
      <c r="J41" s="21" t="str">
        <f>SUBSTITUTE(RIGHT(D41,LEN(D41)-FIND("Evidence",D41)+3), "*", "-")</f>
        <v>_x000D_
Evidence include _x000D_
-Check that for each CCP defined the following is defined:_x000D_
- What is measure? Who is responsible for measure it? What is the Method used? How often it is monitored, verified and validated? What are the limits?</v>
      </c>
    </row>
    <row r="42" spans="1:10" ht="409.6" thickBot="1">
      <c r="A42" s="7" t="s">
        <v>27</v>
      </c>
      <c r="B42" s="7" t="s">
        <v>134</v>
      </c>
      <c r="C42" s="7" t="s">
        <v>135</v>
      </c>
      <c r="D42" s="8" t="s">
        <v>136</v>
      </c>
      <c r="E42" s="19"/>
      <c r="F42" s="6" t="s">
        <v>270</v>
      </c>
      <c r="G42" s="9"/>
      <c r="I42" s="21" t="str">
        <f t="shared" si="2"/>
        <v>Base on the evidence in the knowledge pool, please sumarize in 300  to 500 words how this company meet the requirement on:  Monitoring of Critical Control Points_x000D_
_x000D_
A monitoring system must be established for each CCP to demonstrate it is in control If available, please summary these  _x000D_
Evidence_x000D_
The results of the monitoring must be documented at the defined frequency (dated and signed by the operator(s)). These results must be available at shift handover at the operator and shift manager level and confirmed by both shifts as having been appropriately communicated. Records of deviations that have occurred and corrective actions taken must be maintained by the operator._x000D_
_x000D_
The monitoring device must be physically identified._x000D_
_x000D_
Evidence_x000D_
The results of the monitoring must be documented at the defined frequency (dated and signed by the operator(s)). These results must be available at shift handover at the operator and shift manager level and confirmed by both shifts as having been appropriately communicated. Records of deviations that have occurred and corrective actions taken must be maintained by the operator._x000D_
_x000D_
The monitoring device must be physically identified.If evidence not found, please put 'evidence not found!', all the output should be in normal Text, removing the Markdown format</v>
      </c>
      <c r="J42" s="21" t="str">
        <f>SUBSTITUTE(RIGHT(D42,LEN(D42)-FIND("Evidence",D42)+3), "*", "-")</f>
        <v>_x000D_
Evidence_x000D_
The results of the monitoring must be documented at the defined frequency (dated and signed by the operator(s)). These results must be available at shift handover at the operator and shift manager level and confirmed by both shifts as having been appropriately communicated. Records of deviations that have occurred and corrective actions taken must be maintained by the operator._x000D_
_x000D_
The monitoring device must be physically identified._x000D_
_x000D_
Evidence_x000D_
The results of the monitoring must be documented at the defined frequency (dated and signed by the operator(s)). These results must be available at shift handover at the operator and shift manager level and confirmed by both shifts as having been appropriately communicated. Records of deviations that have occurred and corrective actions taken must be maintained by the operator._x000D_
_x000D_
The monitoring device must be physically identified.</v>
      </c>
    </row>
    <row r="43" spans="1:10" ht="409.6" thickBot="1">
      <c r="A43" s="7" t="s">
        <v>27</v>
      </c>
      <c r="B43" s="7" t="s">
        <v>137</v>
      </c>
      <c r="C43" s="7" t="s">
        <v>138</v>
      </c>
      <c r="D43" s="8" t="s">
        <v>139</v>
      </c>
      <c r="E43" s="19"/>
      <c r="F43" s="6" t="s">
        <v>271</v>
      </c>
      <c r="G43" s="9"/>
      <c r="I43" s="21" t="str">
        <f t="shared" si="2"/>
        <v>Base on the evidence in the knowledge pool, please sumarize in 300  to 500 words how this company meet the requirement on:  Verification of the FSMP program_x000D_
_x000D_
Planned activities are in place to confirm that the food safety management programme is effective. If available, please summary these  _x000D_
Evidence:-_x000D_
- Look at the planned verification activities for the FSMP. _x000D_
- Check the verification planned is appropriate for  each of the CCPs ,  OPRPs,  CP's and PRP's identified._x000D_
- Check the verification frequency is appropriate._x000D_
- Check the documented verification results and analysis._x000D_
- Check how any non conformances are managed._x000D_
_x000D_
_x000D_
Evidence:-_x000D_
- Look at the planned verification activities for the FSMP. _x000D_
- Check the verification planned is appropriate for the CCPs and OPRPs identified._x000D_
- Check the verification frequency is appropriate._x000D_
- Check the documented verification results and analysis._x000D_
- Check how any non conformances are managed.If evidence not found, please put 'evidence not found!', all the output should be in normal Text, removing the Markdown format</v>
      </c>
      <c r="J43" s="21" t="str">
        <f t="shared" si="1"/>
        <v>_x000D_
Evidence:-_x000D_
- Look at the planned verification activities for the FSMP. _x000D_
- Check the verification planned is appropriate for  each of the CCPs ,  OPRPs,  CP's and PRP's identified._x000D_
- Check the verification frequency is appropriate._x000D_
- Check the documented verification results and analysis._x000D_
- Check how any non conformances are managed._x000D_
_x000D_
_x000D_
Evidence:-_x000D_
- Look at the planned verification activities for the FSMP. _x000D_
- Check the verification planned is appropriate for the CCPs and OPRPs identified._x000D_
- Check the verification frequency is appropriate._x000D_
- Check the documented verification results and analysis._x000D_
- Check how any non conformances are managed.</v>
      </c>
    </row>
    <row r="44" spans="1:10" ht="409.6" thickBot="1">
      <c r="A44" s="7" t="s">
        <v>27</v>
      </c>
      <c r="B44" s="7" t="s">
        <v>140</v>
      </c>
      <c r="C44" s="7" t="s">
        <v>141</v>
      </c>
      <c r="D44" s="8" t="s">
        <v>142</v>
      </c>
      <c r="E44" s="19"/>
      <c r="F44" s="6" t="s">
        <v>272</v>
      </c>
      <c r="G44" s="9"/>
      <c r="I44" s="21" t="str">
        <f t="shared" si="2"/>
        <v>Base on the evidence in the knowledge pool, please sumarize in 300  to 500 words how this company meet the requirement on:  Validation of controls_x000D_
_x000D_
Control measures must be validated to demonstrate capability of achieving the intended control of the food safety hazard(s) for which they are designed. If available, please summary these  _x000D_
Evidence:-_x000D_
- Check the validation evidence available for the control measures for the CCPs and OPRPs, and any significant hazards on the MRA/PRA/EMPRA._x000D_
- If validation is based in regulation, scientific study, etc. Review the record is available and is applicable for the ingredient or product purchased by MarsIf evidence not found, please put 'evidence not found!', all the output should be in normal Text, removing the Markdown format</v>
      </c>
      <c r="J44" s="21" t="str">
        <f t="shared" si="1"/>
        <v>_x000D_
Evidence:-_x000D_
- Check the validation evidence available for the control measures for the CCPs and OPRPs, and any significant hazards on the MRA/PRA/EMPRA._x000D_
- If validation is based in regulation, scientific study, etc. Review the record is available and is applicable for the ingredient or product purchased by Mars</v>
      </c>
    </row>
    <row r="45" spans="1:10" ht="409.6" thickBot="1">
      <c r="A45" s="7" t="s">
        <v>27</v>
      </c>
      <c r="B45" s="7" t="s">
        <v>143</v>
      </c>
      <c r="C45" s="7" t="s">
        <v>144</v>
      </c>
      <c r="D45" s="8" t="s">
        <v>145</v>
      </c>
      <c r="E45" s="19"/>
      <c r="F45" s="6" t="s">
        <v>273</v>
      </c>
      <c r="G45" s="9"/>
      <c r="I45" s="21" t="str">
        <f t="shared" si="2"/>
        <v>Base on the evidence in the knowledge pool, please sumarize in 300  to 500 words how this company meet the requirement on:  Review of the FSMP_x000D_
_x000D_
The food safety management programme is kept up to date through regular reviews and when changes are made that could impact on food safety. If available, please summary these  _x000D_
Evidence:-_x000D_
- Regular planned reviews must take place of the FSMS, with documented inputs to the meetings, and actions following the meeting._x000D_
- The food safety hazard analysis should have a list of triggers that would require a review e.g. new Ingredient, new destination market, significant changes to equipment, changes to legislation, new shift pattern, etc. There must be evidence that there are communication routes in place to trigger a review of the FSMS. Follow through an example (e.g. if a new line has been installed, if legislation has recently changed) to check how this has been communicated and assessed. _x000D_
- All updates to the FSMS must be documented.If evidence not found, please put 'evidence not found!', all the output should be in normal Text, removing the Markdown format</v>
      </c>
      <c r="J45" s="21" t="str">
        <f t="shared" si="1"/>
        <v>_x000D_
Evidence:-_x000D_
- Regular planned reviews must take place of the FSMS, with documented inputs to the meetings, and actions following the meeting._x000D_
- The food safety hazard analysis should have a list of triggers that would require a review e.g. new Ingredient, new destination market, significant changes to equipment, changes to legislation, new shift pattern, etc. There must be evidence that there are communication routes in place to trigger a review of the FSMS. Follow through an example (e.g. if a new line has been installed, if legislation has recently changed) to check how this has been communicated and assessed. _x000D_
- All updates to the FSMS must be documented.</v>
      </c>
    </row>
    <row r="46" spans="1:10" ht="409.6" thickBot="1">
      <c r="A46" s="7" t="s">
        <v>146</v>
      </c>
      <c r="B46" s="7" t="s">
        <v>147</v>
      </c>
      <c r="C46" s="7" t="s">
        <v>148</v>
      </c>
      <c r="D46" s="8" t="s">
        <v>149</v>
      </c>
      <c r="E46" s="19"/>
      <c r="F46" s="6" t="s">
        <v>274</v>
      </c>
      <c r="G46" s="9"/>
      <c r="I46" s="21" t="str">
        <f t="shared" si="2"/>
        <v>Base on the evidence in the knowledge pool, please sumarize in 300  to 500 words how this company meet the requirement on:  Building design and construction_x000D_
_x000D_
The building design and construction is durable, in good state of maintenance and appropriate for the nature of the operation to prevent quality and food safety incidents. If available, please summary these  _x000D_
Evidence:_x000D_
During walk thought the facility review any potential of risk for cross contamination such as: _x000D_
-Foreign Material  (peeling paint, rust, condensations, damaged walls, tarps)_x000D_
-Cross contamination: (condensation)_x000D_
-Perimeter walk (perimeter is secured and clearly identified, access is controlled, items stored against wall, product store outside, pallets stored outside, birds presence, dumpsters are enclosed and area is clean, no standing water, external openings are screened, grass is kept in good condition, adjacent properties, creeks or rivers)_x000D_
-Roof inspection (roof is clean, no standing water is observed, equipment looks in good conditions, air vents are screened)_x000D_
- A significant number of GMP/GHP findings may indicate an issue in this area. Likewise, check internal GMP/GHP inspections, late CAPAs associated with infrastructure to look for potential areas of concernIf evidence not found, please put 'evidence not found!', all the output should be in normal Text, removing the Markdown format</v>
      </c>
      <c r="J46" s="21" t="str">
        <f t="shared" si="1"/>
        <v>_x000D_
Evidence:_x000D_
During walk thought the facility review any potential of risk for cross contamination such as: _x000D_
-Foreign Material  (peeling paint, rust, condensations, damaged walls, tarps)_x000D_
-Cross contamination: (condensation)_x000D_
-Perimeter walk (perimeter is secured and clearly identified, access is controlled, items stored against wall, product store outside, pallets stored outside, birds presence, dumpsters are enclosed and area is clean, no standing water, external openings are screened, grass is kept in good condition, adjacent properties, creeks or rivers)_x000D_
-Roof inspection (roof is clean, no standing water is observed, equipment looks in good conditions, air vents are screened)_x000D_
- A significant number of GMP/GHP findings may indicate an issue in this area. Likewise, check internal GMP/GHP inspections, late CAPAs associated with infrastructure to look for potential areas of concern</v>
      </c>
    </row>
    <row r="47" spans="1:10" ht="409.6" thickBot="1">
      <c r="A47" s="7" t="s">
        <v>27</v>
      </c>
      <c r="B47" s="7" t="s">
        <v>150</v>
      </c>
      <c r="C47" s="7" t="s">
        <v>151</v>
      </c>
      <c r="D47" s="8" t="s">
        <v>152</v>
      </c>
      <c r="E47" s="19"/>
      <c r="F47" s="6" t="s">
        <v>275</v>
      </c>
      <c r="G47" s="9"/>
      <c r="I47" s="21" t="str">
        <f t="shared" si="2"/>
        <v>Base on the evidence in the knowledge pool, please sumarize in 300  to 500 words how this company meet the requirement on:  Layout of premises and workspace_x000D_
_x000D_
The internal layout allows for good hygienic manufacturing practices, including the movement of materials, products and people. If available, please summary these  The internal layout of the factory must be suitable for the type of materials / products produced (sufficient space, correct flow of people, materials, finished product, etc.)._x000D_
_x000D_
Review documentation on the design &amp; layout of the factory and equipment to verify that consideration has been given to correct flows of people, raw material, finished product in order to prevent contamination issues._x000D_
_x000D_
1. Internal design, layout and traffic patterns: the building should provide adequate space, with a logical flow of materials, products and personnel, and physical separation (e.g. walls, barriers, partitions, sufficient distance) of raw from processed areas. Openings intended for transfer of materials should be designed to minimise the ingress of foreign materials and pests._x000D_
_x000D_
2. Internal structures and fittings: walls and floors should be washable or cleanable, as appropriate for the process or product hazard. Materials of construction should be resistant to the cleaning system applied. Wall floor junctions and corners should be designed to facilitate cleaning (ideally rounded). Floors shall be designed to avoid standing water. In wet process areas, floors shall be sealed and drained. Drains shall be trapped and covered. Ceilings and overhead fixtures shall be designed to minimise build-up of dirt and condensation. External opening windows, roof vents or fan, where present, shall be insect screened. External opening doors shall be closed or screened when not in use._x000D_
_x000D_
3. Location of equipment: equipment should be designed and located to facilitate hygienic practices and monitoring. Equipment should be located to permit access for operation, cleaning and maintenance._x000D_
_x000D_
4. Laboratory facilities: in-line and on-line test facilities shall be controlled to minimize risk of product contamination. Microbiology laboratories shall be designed, located and operated so as to prevent contamination of people, plant and products. They shall not open directly on to a production area._x000D_
_x000D_
5. Temporary or mobile premises: temporary structures shall be designed, located and constructed to avoid pest harbourage and potential contamination of products._x000D_
_x000D_
_x000D_
Evidence_x000D_
During factory visit:_x000D_
* Check that laboratory facilities does not represent a risk for cross contamination from people, traffic, management of samples, disposition, etc._x000D_
* Check lay outs are those design adequate, are traffic  patters adequate, with logical flow of materials, personnel, raw materials, equipment, tools, air, waste management _x000D_
* Check that there is no evidence of leaks of water, if tarps are present they are dated and do not pose risk of cross contamination_x000D_
* Standing water is not observed, structures and fittings are adequate to do not pose a risk of harborage of food, dust, that could become a micro riskIf evidence not found, please put 'evidence not found!', all the output should be in normal Text, removing the Markdown format</v>
      </c>
      <c r="J47" s="21" t="str">
        <f>D47</f>
        <v>The internal layout of the factory must be suitable for the type of materials / products produced (sufficient space, correct flow of people, materials, finished product, etc.)._x000D_
_x000D_
Review documentation on the design &amp; layout of the factory and equipment to verify that consideration has been given to correct flows of people, raw material, finished product in order to prevent contamination issues._x000D_
_x000D_
1. Internal design, layout and traffic patterns: the building should provide adequate space, with a logical flow of materials, products and personnel, and physical separation (e.g. walls, barriers, partitions, sufficient distance) of raw from processed areas. Openings intended for transfer of materials should be designed to minimise the ingress of foreign materials and pests._x000D_
_x000D_
2. Internal structures and fittings: walls and floors should be washable or cleanable, as appropriate for the process or product hazard. Materials of construction should be resistant to the cleaning system applied. Wall floor junctions and corners should be designed to facilitate cleaning (ideally rounded). Floors shall be designed to avoid standing water. In wet process areas, floors shall be sealed and drained. Drains shall be trapped and covered. Ceilings and overhead fixtures shall be designed to minimise build-up of dirt and condensation. External opening windows, roof vents or fan, where present, shall be insect screened. External opening doors shall be closed or screened when not in use._x000D_
_x000D_
3. Location of equipment: equipment should be designed and located to facilitate hygienic practices and monitoring. Equipment should be located to permit access for operation, cleaning and maintenance._x000D_
_x000D_
4. Laboratory facilities: in-line and on-line test facilities shall be controlled to minimize risk of product contamination. Microbiology laboratories shall be designed, located and operated so as to prevent contamination of people, plant and products. They shall not open directly on to a production area._x000D_
_x000D_
5. Temporary or mobile premises: temporary structures shall be designed, located and constructed to avoid pest harbourage and potential contamination of products._x000D_
_x000D_
_x000D_
Evidence_x000D_
During factory visit:_x000D_
* Check that laboratory facilities does not represent a risk for cross contamination from people, traffic, management of samples, disposition, etc._x000D_
* Check lay outs are those design adequate, are traffic  patters adequate, with logical flow of materials, personnel, raw materials, equipment, tools, air, waste management _x000D_
* Check that there is no evidence of leaks of water, if tarps are present they are dated and do not pose risk of cross contamination_x000D_
* Standing water is not observed, structures and fittings are adequate to do not pose a risk of harborage of food, dust, that could become a micro risk</v>
      </c>
    </row>
    <row r="48" spans="1:10" ht="409.6" thickBot="1">
      <c r="A48" s="7" t="s">
        <v>27</v>
      </c>
      <c r="B48" s="7" t="s">
        <v>153</v>
      </c>
      <c r="C48" s="7" t="s">
        <v>154</v>
      </c>
      <c r="D48" s="8" t="s">
        <v>155</v>
      </c>
      <c r="E48" s="19"/>
      <c r="F48" s="6" t="s">
        <v>276</v>
      </c>
      <c r="G48" s="9"/>
      <c r="I48" s="21" t="str">
        <f t="shared" si="2"/>
        <v>Base on the evidence in the knowledge pool, please sumarize in 300  to 500 words how this company meet the requirement on:  Utilities are appropriate for the food industry, designed to minimise the risk of product contamination and are monitored. If available, please summary these  : Evidence: lighting provided (natural/ artificial) allows personnel to operate in a hygienic manner., intensity of the lighting is appropriate to the nature of the operation. Light fixtures shall be protected to prevent contaminated in the case of breakages. If evidence not found, please put 'evidence not found!', all the output should be in normal Text, removing the Markdown format</v>
      </c>
      <c r="J48" s="21" t="str">
        <f t="shared" si="1"/>
        <v>: Evidence: lighting provided (natural/ artificial) allows personnel to operate in a hygienic manner., intensity of the lighting is appropriate to the nature of the operation. Light fixtures shall be protected to prevent contaminated in the case of breakages. </v>
      </c>
    </row>
    <row r="49" spans="1:10" ht="409.6" thickBot="1">
      <c r="A49" s="7" t="s">
        <v>27</v>
      </c>
      <c r="B49" s="7" t="s">
        <v>156</v>
      </c>
      <c r="C49" s="7" t="s">
        <v>157</v>
      </c>
      <c r="D49" s="8" t="s">
        <v>158</v>
      </c>
      <c r="E49" s="19"/>
      <c r="F49" s="6" t="s">
        <v>277</v>
      </c>
      <c r="G49" s="9"/>
      <c r="I49" s="21" t="str">
        <f t="shared" si="2"/>
        <v>Base on the evidence in the knowledge pool, please sumarize in 300  to 500 words how this company meet the requirement on:  Waste management_x000D_
_x000D_
Waste materials are clearly identified, removed and disposed in a manor that prevents re-contamination of product or production areas. If available, please summary these  _x000D_
Evidence_x000D_
During  visit_x000D_
-Check that waste containers are clearly identified. Labels from previous usage shall be  fully removed_x000D_
-No overflow waste containers are observed_x000D_
-Check that waste containers are in good condition, with no leaks that could contaminate during transfer to main collector _x000D_
2. Waste management and removal:_x000D_
Provision shall be made for the segregation, storage and removal of waste. Accumulation of waste shall not be allowed in food-handling or storage areas. Removal frequencies shall be managed to avoid accumulations, with a minimum daily removal. Labelled materials, products or printed packaging designated as waste shall be disfigured or destroyed to ensure that trademarks cannot be reused. Removal and destruction shall be carried out by approved disposal contractors. The organization shall retain records of destruction._x000D_
Evidence_x000D_
-Check that contractors removing solid waste, carboard box, inedible and any other type are listed in the approved supplier list_x000D_
-Check records for product destruction _x000D_
During factory visit_x000D_
-Check compactor area - container is enclosed. Area is keep with good housekeeping _x000D_
3. Drains and drainage_x000D_
Drains shall be designed, constructed and located so that the risk of contamination of materials or products is avoided. Drains shall have capacity sufficient to remove expected flow loads. Drains shall not pass over processing lines. Drainage direction shall not flow from a contaminated area to a clean area._x000D_
Evidence_x000D_
During factory visit_x000D_
-Check that drains do not back up. Floor surrounding the drains are in good condition and does not allow standing water and harborage of soil and debris."If evidence not found, please put 'evidence not found!', all the output should be in normal Text, removing the Markdown format</v>
      </c>
      <c r="J49" s="21" t="str">
        <f>SUBSTITUTE(RIGHT(D49,LEN(D49)-FIND("Evidence",D49)+3), "*", "-")</f>
        <v>_x000D_
Evidence_x000D_
During  visit_x000D_
-Check that waste containers are clearly identified. Labels from previous usage shall be  fully removed_x000D_
-No overflow waste containers are observed_x000D_
-Check that waste containers are in good condition, with no leaks that could contaminate during transfer to main collector _x000D_
2. Waste management and removal:_x000D_
Provision shall be made for the segregation, storage and removal of waste. Accumulation of waste shall not be allowed in food-handling or storage areas. Removal frequencies shall be managed to avoid accumulations, with a minimum daily removal. Labelled materials, products or printed packaging designated as waste shall be disfigured or destroyed to ensure that trademarks cannot be reused. Removal and destruction shall be carried out by approved disposal contractors. The organization shall retain records of destruction._x000D_
Evidence_x000D_
-Check that contractors removing solid waste, carboard box, inedible and any other type are listed in the approved supplier list_x000D_
-Check records for product destruction _x000D_
During factory visit_x000D_
-Check compactor area - container is enclosed. Area is keep with good housekeeping _x000D_
3. Drains and drainage_x000D_
Drains shall be designed, constructed and located so that the risk of contamination of materials or products is avoided. Drains shall have capacity sufficient to remove expected flow loads. Drains shall not pass over processing lines. Drainage direction shall not flow from a contaminated area to a clean area._x000D_
Evidence_x000D_
During factory visit_x000D_
-Check that drains do not back up. Floor surrounding the drains are in good condition and does not allow standing water and harborage of soil and debris."</v>
      </c>
    </row>
    <row r="50" spans="1:10" ht="409.6" thickBot="1">
      <c r="A50" s="7" t="s">
        <v>27</v>
      </c>
      <c r="B50" s="7" t="s">
        <v>159</v>
      </c>
      <c r="C50" s="7" t="s">
        <v>160</v>
      </c>
      <c r="D50" s="8" t="s">
        <v>161</v>
      </c>
      <c r="E50" s="19"/>
      <c r="F50" s="6" t="s">
        <v>278</v>
      </c>
      <c r="G50" s="9"/>
      <c r="I50" s="21" t="str">
        <f t="shared" si="2"/>
        <v>Base on the evidence in the knowledge pool, please sumarize in 300  to 500 words how this company meet the requirement on:  Equipment suitability, cleaning and maintenance_x000D_
_x000D_
Production equipment is designed as appropriate for the materials / products being produced ,including accessibility for production maintenance and cleaning activities. A preventative and corrective maintenance program is in place. If available, please summary these  _x000D_
Evidence: _x000D_
During the  visit_x000D_
-Check product contact surfaces are in good condition, with sanitary design and welding and materials designed for food usage_x000D_
- Check equipment is in good condition_x000D_
- Check nuts, bolts are cleanable and does not represent a niche for food or ingredients  _x000D_
- Request PM program e.g. this would include daily, weekly, monthly, annual PM's depending on the type of equipment. _x000D_
- Check that frequency defined in the PM program is followed meaning that PM is done as defined_x000D_
- Request records for Maintenance for critical equipment for the process you are auditing e.g. rosters, dryers, pasteurizer, compressed air_x000D_
- Check instructions to be followed by maintenance personnelIf evidence not found, please put 'evidence not found!', all the output should be in normal Text, removing the Markdown format</v>
      </c>
      <c r="J50" s="21" t="str">
        <f t="shared" si="1"/>
        <v>_x000D_
Evidence: _x000D_
During the  visit_x000D_
-Check product contact surfaces are in good condition, with sanitary design and welding and materials designed for food usage_x000D_
- Check equipment is in good condition_x000D_
- Check nuts, bolts are cleanable and does not represent a niche for food or ingredients  _x000D_
- Request PM program e.g. this would include daily, weekly, monthly, annual PM's depending on the type of equipment. _x000D_
- Check that frequency defined in the PM program is followed meaning that PM is done as defined_x000D_
- Request records for Maintenance for critical equipment for the process you are auditing e.g. rosters, dryers, pasteurizer, compressed air_x000D_
- Check instructions to be followed by maintenance personnel</v>
      </c>
    </row>
    <row r="51" spans="1:10" ht="409.6" thickBot="1">
      <c r="A51" s="7" t="s">
        <v>27</v>
      </c>
      <c r="B51" s="7" t="s">
        <v>162</v>
      </c>
      <c r="C51" s="7" t="s">
        <v>163</v>
      </c>
      <c r="D51" s="8" t="s">
        <v>164</v>
      </c>
      <c r="E51" s="19"/>
      <c r="F51" s="6" t="s">
        <v>279</v>
      </c>
      <c r="G51" s="9"/>
      <c r="I51" s="21" t="str">
        <f t="shared" si="2"/>
        <v>Base on the evidence in the knowledge pool, please sumarize in 300  to 500 words how this company meet the requirement on:  Microbiological Contamination / Control_x000D_
_x000D_
Programmes are in place to prevent, control and detect microbiological contamination risks. If available, please summary these  _x000D_
Evidence:_x000D_
- Check that Environmental Monitoring Plan (EMP)  is documented and frequency is defined based in risk assessment or historical data. SOP must include frequency of testing, who is responsible, how samples are taken, corrective actions to complete for OOS indicator and pathogen results, escalations when a pathogen is detected in environment or finished product. EMP shall encompass the entire operation,  and the samples must be collected by a trained collector on differnt days of the week, shifts, times with the target to detect bacterial niches. _x000D_
- Check that environmental program includes surfaces-swabbing, air monitoring, water monitoring, compressed air monitoring, clothing/people _x000D_
Check that appropriate utensils are used to collect environmental samples. Mars prefer to use sponges vs cotton swabs for pathogen testing. Cotton swabs shall be use for sampling hard to reach tiny surfaces (e.g. holes, crevices)_x000D_
Target swab surface area should be not less than 10x10cm with exception of smaller areas or parts. _x000D_
- Check zones defined by supplier using a risk assessment or historical information  and review environmental Monitoring Plan  results by zones _x000D_
- Check that acceptable limits are established and corrective and preventive actions are conducted when OOS is reported. Acceptable limits must be representative of bacterial levels observed under normal operational conditions and be based on historical results or a baseline study.  _x000D_
- Check that trend analysis for results generated by the EMP is available _x000D_
During the site  visit check:_x000D_
- Personnel practices that could represent a micro risk do not occur e.g. people wash hands when needed it, if personnel touch non food contact surfaces and washes hands prior to touch any food / ingredient / process equipment, hand wash occur between changing gloves_x000D_
- Air Pressure differential (if applicable)_x000D_
- Adequate separation between raw and finish product and adequate people, ingredients, equipment, waste flows to prevent cross contaminationIf evidence not found, please put 'evidence not found!', all the output should be in normal Text, removing the Markdown format</v>
      </c>
      <c r="J51" s="21" t="str">
        <f t="shared" si="1"/>
        <v>_x000D_
Evidence:_x000D_
- Check that Environmental Monitoring Plan (EMP)  is documented and frequency is defined based in risk assessment or historical data. SOP must include frequency of testing, who is responsible, how samples are taken, corrective actions to complete for OOS indicator and pathogen results, escalations when a pathogen is detected in environment or finished product. EMP shall encompass the entire operation,  and the samples must be collected by a trained collector on differnt days of the week, shifts, times with the target to detect bacterial niches. _x000D_
- Check that environmental program includes surfaces-swabbing, air monitoring, water monitoring, compressed air monitoring, clothing/people _x000D_
Check that appropriate utensils are used to collect environmental samples. Mars prefer to use sponges vs cotton swabs for pathogen testing. Cotton swabs shall be use for sampling hard to reach tiny surfaces (e.g. holes, crevices)_x000D_
Target swab surface area should be not less than 10x10cm with exception of smaller areas or parts. _x000D_
- Check zones defined by supplier using a risk assessment or historical information  and review environmental Monitoring Plan  results by zones _x000D_
- Check that acceptable limits are established and corrective and preventive actions are conducted when OOS is reported. Acceptable limits must be representative of bacterial levels observed under normal operational conditions and be based on historical results or a baseline study.  _x000D_
- Check that trend analysis for results generated by the EMP is available _x000D_
During the site  visit check:_x000D_
- Personnel practices that could represent a micro risk do not occur e.g. people wash hands when needed it, if personnel touch non food contact surfaces and washes hands prior to touch any food / ingredient / process equipment, hand wash occur between changing gloves_x000D_
- Air Pressure differential (if applicable)_x000D_
- Adequate separation between raw and finish product and adequate people, ingredients, equipment, waste flows to prevent cross contamination</v>
      </c>
    </row>
    <row r="52" spans="1:10" ht="409.6" thickBot="1">
      <c r="A52" s="7" t="s">
        <v>27</v>
      </c>
      <c r="B52" s="7" t="s">
        <v>165</v>
      </c>
      <c r="C52" s="7" t="s">
        <v>166</v>
      </c>
      <c r="D52" s="8" t="s">
        <v>167</v>
      </c>
      <c r="E52" s="19"/>
      <c r="F52" s="6" t="s">
        <v>280</v>
      </c>
      <c r="G52" s="9"/>
      <c r="I52" s="21" t="str">
        <f t="shared" si="2"/>
        <v>Base on the evidence in the knowledge pool, please sumarize in 300  to 500 words how this company meet the requirement on:  Chemical (Incl. Allergen) Contamination /Control_x000D_
_x000D_
Programmes are in place to prevent, control and detect Chemical contamination risks. If available, please summary these  _x000D_
Evidence:_x000D_
- Check records for validation after cleaning and/or a change over is completed_x000D_
- During factory visit :_x000D_
-select a few names of chemicals and request the information to confirm they are food grade, kosher, etc. . as applicable_x000D_
- Check that the chemicals are found in the list of approved chemicals_x000D_
- Check that chemicals are secured to not pose risk of cross contamination _x000D_
- Check that all chemicals are properly identified_x000D_
_x000D_
Pesticide Management Focus._x000D_
_x000D_
-Consider pesticides when auditing the changeover cleaning procedures between materials intended for different export countries and from non-organic to organic materials, where applicable. _x000D_
-Storage &amp; transportation practices must be in place to prevent the risk of mixing materials intended for different country sales.If evidence not found, please put 'evidence not found!', all the output should be in normal Text, removing the Markdown format</v>
      </c>
      <c r="J52" s="21" t="str">
        <f t="shared" si="1"/>
        <v>_x000D_
Evidence:_x000D_
- Check records for validation after cleaning and/or a change over is completed_x000D_
- During factory visit :_x000D_
-select a few names of chemicals and request the information to confirm they are food grade, kosher, etc. . as applicable_x000D_
- Check that the chemicals are found in the list of approved chemicals_x000D_
- Check that chemicals are secured to not pose risk of cross contamination _x000D_
- Check that all chemicals are properly identified_x000D_
_x000D_
Pesticide Management Focus._x000D_
_x000D_
-Consider pesticides when auditing the changeover cleaning procedures between materials intended for different export countries and from non-organic to organic materials, where applicable. _x000D_
-Storage &amp; transportation practices must be in place to prevent the risk of mixing materials intended for different country sales.</v>
      </c>
    </row>
    <row r="53" spans="1:10" ht="409.6" thickBot="1">
      <c r="A53" s="7" t="s">
        <v>27</v>
      </c>
      <c r="B53" s="7" t="s">
        <v>168</v>
      </c>
      <c r="C53" s="7" t="s">
        <v>169</v>
      </c>
      <c r="D53" s="8" t="s">
        <v>170</v>
      </c>
      <c r="E53" s="19"/>
      <c r="F53" s="6" t="s">
        <v>281</v>
      </c>
      <c r="G53" s="9"/>
      <c r="I53" s="21" t="str">
        <f t="shared" si="2"/>
        <v>Base on the evidence in the knowledge pool, please sumarize in 300  to 500 words how this company meet the requirement on:  Physical Hazard Contamination / Control_x000D_
_x000D_
Programmes are in place to prevent, control and detect physical hazard contamination risks. If available, please summary these  _x000D_
Evidence:_x000D_
-Check procedures available for the control of foreign materials e.g. wood policy,  glass and brittle plastic policy, glove policy, blade and knife control policy, metal detection systems (screens, magnets, sieves, filters, x-rays, metal detectors)_x000D_
-Check records for training in the applicable programs_x000D_
-Check records for applicable inspections e.g. brittle plastic, sieve, magnets_x000D_
- During factory visit check clothing conditions, gloves management, plastic controls, hard plastic conditions, glass conditions, wood and plastic pallets conditions, overhead piping - to see if any Foreign material  risk is observedIf evidence not found, please put 'evidence not found!', all the output should be in normal Text, removing the Markdown format</v>
      </c>
      <c r="J53" s="21" t="str">
        <f t="shared" si="1"/>
        <v>_x000D_
Evidence:_x000D_
-Check procedures available for the control of foreign materials e.g. wood policy,  glass and brittle plastic policy, glove policy, blade and knife control policy, metal detection systems (screens, magnets, sieves, filters, x-rays, metal detectors)_x000D_
-Check records for training in the applicable programs_x000D_
-Check records for applicable inspections e.g. brittle plastic, sieve, magnets_x000D_
- During factory visit check clothing conditions, gloves management, plastic controls, hard plastic conditions, glass conditions, wood and plastic pallets conditions, overhead piping - to see if any Foreign material  risk is observed</v>
      </c>
    </row>
    <row r="54" spans="1:10" ht="409.6" thickBot="1">
      <c r="A54" s="7" t="s">
        <v>27</v>
      </c>
      <c r="B54" s="7" t="s">
        <v>171</v>
      </c>
      <c r="C54" s="7" t="s">
        <v>172</v>
      </c>
      <c r="D54" s="8" t="s">
        <v>173</v>
      </c>
      <c r="E54" s="19"/>
      <c r="F54" s="6" t="s">
        <v>282</v>
      </c>
      <c r="G54" s="9"/>
      <c r="I54" s="21" t="str">
        <f t="shared" si="2"/>
        <v>Base on the evidence in the knowledge pool, please sumarize in 300  to 500 words how this company meet the requirement on:  Cleaning and sanitising_x000D_
_x000D_
Equipment and the production environment are maintained in a hygienic condition with cleaning, sanitising &amp; monitoring programmes in place to ensure their effectiveness. If available, please summary these  Evidence:_x000D_
- During the site visit, observe_x000D_
-  the level of cleanliness across the plant and equipment  (clean floors, clutter and rubbish, grime on walls, equipment surfaces, spillages). _x000D_
- Check that tools used for cleaning are color coded, properly stored and in good condition. Procedure should be in place on how to clean and verify cleanliness of cleaning tools. _x000D_
- Check how long spillages and clutter has been left in the area. There should be no free standing water pools in production areas, especially areas deemed as dry areas. _x000D_
-Review master sanitation schedule  and cleaning records - check that frequencies match and records are up to date and signed, and that SSOP's are available._x000D_
- If CIP system in place check validation, calibration for the system. Review records for the CIP to include time, temperature, employee doing the cleaning, etc. _x000D_
- Check records for pre-start inspections, post cleaning inspections. Verify that Corrective actions are properly documented._x000D_
- Check the types of cleaning performed: dry cleaning, wet cleaning,  CIP cleaning._x000D_
-  IF high pressure air or water is use , verify that  control measures must be in place to prevent cross contamination . _x000D_
- Check for presence of high pressure water or air hoses  They use must be limited and strictly controlled to prevent cross-contamination.  _x000D_
- Risk assessment is in place for wet cleaning employed in dry areas. _x000D_
_x000D_
Cleaning and sanitizing agents and tools: facilities and equipment are in a condition that facilitates wet or dry cleaning and/or sanitation. Cleaning and sanitizing agents and chemicals must be identified, food grade, stored separately and used according to manufacturer instructions. Tools and equipment must be of hygienic design and in a condition that does not present a source of extraneous matter._x000D_
_x000D_
Cleaning and sanitizing programme: it has to ensure that all facilities and equipment - including cleaning equipment - are cleaned and/or sanitized to a schedule and include: what, who, how (method and frequency, including removal or disassembly requirements ), monitoring and verification arrangements, post-clean inspections, pre-start inspections._x000D_
_x000D_
Cleaning in place (CIP) systems: it has to be separated from active production lines. Parameters must be defined and monitored, including type, concentration, contact time and temperature of chemicals used). Validation for the Clean in Place process (CIP)  and 2) pre-op inspections.  _x000D_
_x000D_
Cleaning and sanitation programmes must be monitored at specified frequencies to ensure they are still suitable and effective. There must be corrective actions in the event cleaning is not done to schedule or if verification fails."If evidence not found, please put 'evidence not found!', all the output should be in normal Text, removing the Markdown format</v>
      </c>
      <c r="J54" s="21" t="str">
        <f t="shared" si="1"/>
        <v>Evidence:_x000D_
- During the site visit, observe_x000D_
-  the level of cleanliness across the plant and equipment  (clean floors, clutter and rubbish, grime on walls, equipment surfaces, spillages). _x000D_
- Check that tools used for cleaning are color coded, properly stored and in good condition. Procedure should be in place on how to clean and verify cleanliness of cleaning tools. _x000D_
- Check how long spillages and clutter has been left in the area. There should be no free standing water pools in production areas, especially areas deemed as dry areas. _x000D_
-Review master sanitation schedule  and cleaning records - check that frequencies match and records are up to date and signed, and that SSOP's are available._x000D_
- If CIP system in place check validation, calibration for the system. Review records for the CIP to include time, temperature, employee doing the cleaning, etc. _x000D_
- Check records for pre-start inspections, post cleaning inspections. Verify that Corrective actions are properly documented._x000D_
- Check the types of cleaning performed: dry cleaning, wet cleaning,  CIP cleaning._x000D_
-  IF high pressure air or water is use , verify that  control measures must be in place to prevent cross contamination . _x000D_
- Check for presence of high pressure water or air hoses  They use must be limited and strictly controlled to prevent cross-contamination.  _x000D_
- Risk assessment is in place for wet cleaning employed in dry areas. _x000D_
_x000D_
Cleaning and sanitizing agents and tools: facilities and equipment are in a condition that facilitates wet or dry cleaning and/or sanitation. Cleaning and sanitizing agents and chemicals must be identified, food grade, stored separately and used according to manufacturer instructions. Tools and equipment must be of hygienic design and in a condition that does not present a source of extraneous matter._x000D_
_x000D_
Cleaning and sanitizing programme: it has to ensure that all facilities and equipment - including cleaning equipment - are cleaned and/or sanitized to a schedule and include: what, who, how (method and frequency, including removal or disassembly requirements ), monitoring and verification arrangements, post-clean inspections, pre-start inspections._x000D_
_x000D_
Cleaning in place (CIP) systems: it has to be separated from active production lines. Parameters must be defined and monitored, including type, concentration, contact time and temperature of chemicals used). Validation for the Clean in Place process (CIP)  and 2) pre-op inspections.  _x000D_
_x000D_
Cleaning and sanitation programmes must be monitored at specified frequencies to ensure they are still suitable and effective. There must be corrective actions in the event cleaning is not done to schedule or if verification fails."</v>
      </c>
    </row>
    <row r="55" spans="1:10" ht="409.6" thickBot="1">
      <c r="A55" s="7" t="s">
        <v>27</v>
      </c>
      <c r="B55" s="7" t="s">
        <v>174</v>
      </c>
      <c r="C55" s="7" t="s">
        <v>175</v>
      </c>
      <c r="D55" s="8" t="s">
        <v>176</v>
      </c>
      <c r="E55" s="19"/>
      <c r="F55" s="6" t="s">
        <v>283</v>
      </c>
      <c r="G55" s="9"/>
      <c r="I55" s="21" t="str">
        <f t="shared" si="2"/>
        <v>Base on the evidence in the knowledge pool, please sumarize in 300  to 500 words how this company meet the requirement on:  Pest Management _x000D_
_x000D_
A pest management program covering buildings, production operation and control programs are effective  in preventing pest contamination. If available, please summary these  _x000D_
Evidence:_x000D_
-Check Pest control program is documented and includes who manages the program, description, targets, frequency_x000D_
- Request a random pest control report _x000D_
- Review trends and type of activity and confirm that Corrective actions are completed in timely matter and documented _x000D_
During factory visit_x000D_
- Check map accuracy:  take the pest control map and confirm location of some pest control devices _x000D_
- Check perimeters for harborage / pest, open doors in cabinets in the cafeteria seeking absence of pest activity_x000D_
- Check gaps-openings on doors, dock doors, walls, ceilingIf evidence not found, please put 'evidence not found!', all the output should be in normal Text, removing the Markdown format</v>
      </c>
      <c r="J55" s="21" t="str">
        <f t="shared" si="1"/>
        <v>_x000D_
Evidence:_x000D_
-Check Pest control program is documented and includes who manages the program, description, targets, frequency_x000D_
- Request a random pest control report _x000D_
- Review trends and type of activity and confirm that Corrective actions are completed in timely matter and documented _x000D_
During factory visit_x000D_
- Check map accuracy:  take the pest control map and confirm location of some pest control devices _x000D_
- Check perimeters for harborage / pest, open doors in cabinets in the cafeteria seeking absence of pest activity_x000D_
- Check gaps-openings on doors, dock doors, walls, ceiling</v>
      </c>
    </row>
    <row r="56" spans="1:10" ht="409.6" thickBot="1">
      <c r="A56" s="7" t="s">
        <v>27</v>
      </c>
      <c r="B56" s="7" t="s">
        <v>177</v>
      </c>
      <c r="C56" s="7" t="s">
        <v>178</v>
      </c>
      <c r="D56" s="8" t="s">
        <v>179</v>
      </c>
      <c r="E56" s="19"/>
      <c r="F56" s="6" t="s">
        <v>284</v>
      </c>
      <c r="G56" s="9"/>
      <c r="I56" s="21" t="str">
        <f t="shared" si="2"/>
        <v>Base on the evidence in the knowledge pool, please sumarize in 300  to 500 words how this company meet the requirement on:  Personal hygiene and facilities_x000D_
_x000D_
Personal hygiene programs are effective in managing risk to the process area and product. If available, please summary these  _x000D_
Evidence:_x000D_
-Check manufacturing areas are adequately equipped with hand-washing &amp; drying facilities on entry to the production area._x000D_
-Ensure toilets do not open directly on to production, packing or storage areas. _x000D_
-Ensure changing facilities are prior to entry into production, packing or storage areas._x000D_
Personal cleanliness:_x000D_
Evidence_x000D_
-Check that food production personnel wash hands before starting work, immediately after using toilets or blowing the nose, immediately after handling potential contaminated product._x000D_
To what level are people committed and acting in_x000D_
accordance with food safety expectations_x000D_
Ensure  personnel refrain from coughing, sneezing or spitting over materials, in general following all hygiene practices_x000D_
Catering:_x000D_
Evidence:_x000D_
-Check that catering facilities &amp; designated areas for food storage and consumption (including employees own food) are isolated from production areas._x000D_
Work Wear:_x000D_
Work clothing must be fit for purpose, clean and in good condition. _x000D_
Work wear should not have buttons, outside pockets above waist level &amp; provide adequate coverage to ensure that hair, perspiration, etc. cannot contaminate the product._x000D_
Work Shoes must be fully enclosed._x000D_
Evidence_x000D_
-Check that work wear is laundered at intervals suitable for the intended use,  _x000D_
-Hair, beards, and moustaches should be fully protected by restraints unless hazard analysis indicates otherwise._x000D_
-Check that gloves used for product contact shall be clean and in good condition, and latex gloves should be avoided where possible._x000D_
Health status: _x000D_
When legally required, employees shall undergo a medical examination prior to employment in food contact operations (including site catering), unless documented hazard or medical assessment indicates otherwise. _x000D_
Illness and injuries: _x000D_
Do procedures exist (where permitted by law) that employees are required to report the following conditions to management for possible exclusion from food-handling areas: jaundice, diarrhea, vomiting, fever, sore throat with fever, visibly infected skin lesions and discharges from the ear, eye or nose. _x000D_
People known or suspected to be infected with, or carrying, a disease or illness transmissible through food shall be prevented from handling food or materials which come into contact with food. _x000D_
In food-handling areas, personnel with wounds or burns shall be required to cover them with specified dressings. Any lost dressing shall be reported to supervision immediately. _x000D_
Evidence_x000D_
-Check to see is dressing are brightly coloured and metal detectable where appropriate.If evidence not found, please put 'evidence not found!', all the output should be in normal Text, removing the Markdown format</v>
      </c>
      <c r="J56" s="21" t="str">
        <f t="shared" si="1"/>
        <v>_x000D_
Evidence:_x000D_
-Check manufacturing areas are adequately equipped with hand-washing &amp; drying facilities on entry to the production area._x000D_
-Ensure toilets do not open directly on to production, packing or storage areas. _x000D_
-Ensure changing facilities are prior to entry into production, packing or storage areas._x000D_
Personal cleanliness:_x000D_
Evidence_x000D_
-Check that food production personnel wash hands before starting work, immediately after using toilets or blowing the nose, immediately after handling potential contaminated product._x000D_
To what level are people committed and acting in_x000D_
accordance with food safety expectations_x000D_
Ensure  personnel refrain from coughing, sneezing or spitting over materials, in general following all hygiene practices_x000D_
Catering:_x000D_
Evidence:_x000D_
-Check that catering facilities &amp; designated areas for food storage and consumption (including employees own food) are isolated from production areas._x000D_
Work Wear:_x000D_
Work clothing must be fit for purpose, clean and in good condition. _x000D_
Work wear should not have buttons, outside pockets above waist level &amp; provide adequate coverage to ensure that hair, perspiration, etc. cannot contaminate the product._x000D_
Work Shoes must be fully enclosed._x000D_
Evidence_x000D_
-Check that work wear is laundered at intervals suitable for the intended use,  _x000D_
-Hair, beards, and moustaches should be fully protected by restraints unless hazard analysis indicates otherwise._x000D_
-Check that gloves used for product contact shall be clean and in good condition, and latex gloves should be avoided where possible._x000D_
Health status: _x000D_
When legally required, employees shall undergo a medical examination prior to employment in food contact operations (including site catering), unless documented hazard or medical assessment indicates otherwise. _x000D_
Illness and injuries: _x000D_
Do procedures exist (where permitted by law) that employees are required to report the following conditions to management for possible exclusion from food-handling areas: jaundice, diarrhea, vomiting, fever, sore throat with fever, visibly infected skin lesions and discharges from the ear, eye or nose. _x000D_
People known or suspected to be infected with, or carrying, a disease or illness transmissible through food shall be prevented from handling food or materials which come into contact with food. _x000D_
In food-handling areas, personnel with wounds or burns shall be required to cover them with specified dressings. Any lost dressing shall be reported to supervision immediately. _x000D_
Evidence_x000D_
-Check to see is dressing are brightly coloured and metal detectable where appropriate.</v>
      </c>
    </row>
    <row r="57" spans="1:10" ht="409.6" thickBot="1">
      <c r="A57" s="7" t="s">
        <v>27</v>
      </c>
      <c r="B57" s="7" t="s">
        <v>180</v>
      </c>
      <c r="C57" s="7" t="s">
        <v>181</v>
      </c>
      <c r="D57" s="8" t="s">
        <v>182</v>
      </c>
      <c r="E57" s="19"/>
      <c r="F57" s="6" t="s">
        <v>285</v>
      </c>
      <c r="G57" s="9"/>
      <c r="I57" s="21" t="str">
        <f t="shared" si="2"/>
        <v>Base on the evidence in the knowledge pool, please sumarize in 300  to 500 words how this company meet the requirement on:  Personnel Behaviour_x000D_
_x000D_
Personal hygiene behaviours  are effective in managing risk to the process area and product. If available, please summary these  _x000D_
Evidence _x000D_
During the factory visit, observe behaviour of personnel against compliance with the standard no eating, smoking or drinking in production areas._x000D_
_x000D_
Look for evidence that Visitors are informed about the hygiene &amp; safety measures to be observed during their presence on the site.If evidence not found, please put 'evidence not found!', all the output should be in normal Text, removing the Markdown format</v>
      </c>
      <c r="J57" s="21" t="str">
        <f>SUBSTITUTE(RIGHT(D57,LEN(D57)-FIND("Evidence",D57)+3), "*", "-")</f>
        <v>_x000D_
Evidence _x000D_
During the factory visit, observe behaviour of personnel against compliance with the standard no eating, smoking or drinking in production areas._x000D_
_x000D_
Look for evidence that Visitors are informed about the hygiene &amp; safety measures to be observed during their presence on the site.</v>
      </c>
    </row>
    <row r="58" spans="1:10" ht="409.6" thickBot="1">
      <c r="A58" s="7" t="s">
        <v>27</v>
      </c>
      <c r="B58" s="7" t="s">
        <v>183</v>
      </c>
      <c r="C58" s="7" t="s">
        <v>184</v>
      </c>
      <c r="D58" s="8" t="s">
        <v>185</v>
      </c>
      <c r="E58" s="19"/>
      <c r="F58" s="6" t="s">
        <v>286</v>
      </c>
      <c r="G58" s="9"/>
      <c r="I58" s="21" t="str">
        <f t="shared" si="2"/>
        <v>Base on the evidence in the knowledge pool, please sumarize in 300  to 500 words how this company meet the requirement on:  Rework _x000D_
_x000D_
Rework traceability must be maintained and its storage, handling and use managed in a way that maintains product Q&amp;FS. If available, please summary these  _x000D_
Evidence_x000D_
-Check that rework procedure is documented_x000D_
-Check records  for rework usageIf evidence not found, please put 'evidence not found!', all the output should be in normal Text, removing the Markdown format</v>
      </c>
      <c r="J58" s="21" t="str">
        <f>SUBSTITUTE(RIGHT(D58,LEN(D58)-FIND("Evidence",D58)+3), "*", "-")</f>
        <v>_x000D_
Evidence_x000D_
-Check that rework procedure is documented_x000D_
-Check records  for rework usage</v>
      </c>
    </row>
    <row r="59" spans="1:10" ht="409.6" thickBot="1">
      <c r="A59" s="7" t="s">
        <v>27</v>
      </c>
      <c r="B59" s="7" t="s">
        <v>186</v>
      </c>
      <c r="C59" s="7" t="s">
        <v>187</v>
      </c>
      <c r="D59" s="8" t="s">
        <v>188</v>
      </c>
      <c r="E59" s="19"/>
      <c r="F59" s="6" t="s">
        <v>287</v>
      </c>
      <c r="G59" s="9"/>
      <c r="I59" s="21" t="str">
        <f t="shared" si="2"/>
        <v>Base on the evidence in the knowledge pool, please sumarize in 300  to 500 words how this company meet the requirement on:  Storage and transportation_x000D_
_x000D_
Materials and products are stored and transported in hygienic conditions suitable for the material. If available, please summary these  g requirements:_x000D_
a) facilities to store ingredients, packaging and products shall be protected from dust, condensation , drains, waste and other sources of contamination._x000D_
b) areas shall be dry and well ventilated. Temperature, humidity and other environmental conditions have to be controlled when required by the material / product or storage specifications._x000D_
c) materials / products shall be stored off the floor and with sufficient space between the material / product and the wall to allow inspection and pest control activities._x000D_
d) stacked in a way as to prevent damage to the lower layers._x000D_
e) waste materials and chemicals (cleaning products, lubricants, pesticides) must be stored separately and in a secure manner (locked or with access controlled)._x000D_
f) any non-conforming materials /products must be segregated from conforming materials /products._x000D_
g) a quarantine area must be designated for the storage of non conforming materials /products._x000D_
h) stock rotation systems (FIFO/FEFO) must be followed._x000D_
I) gasoline or diesel-powered fork-lift trucks must not be used in food ingredient or product storage areas._x000D_
j) loading and unloading areas should be covered where possible, or risks must be evaluated and mitigated._x000D_
k)Pallets are in good condition and stored appropriately._x000D_
l) Product shall be store properly to prevent any cross contamination with any allergen stored in the area _x000D_
m) Procedure for cleaning of spills in the warehouse  shall be documented and implemented_x000D_
_x000D_
Vehicles, conveyances, and containers:_x000D_
a) must be in good conditions, clean, free of pests  and provide protection against damage or contamination of the product._x000D_
b) temperature and humidity must be controlled and recorded when required by the product;._x000D_
c) cleaning between loads is necessary when they are used for food material /product and non-food materials /products._x000D_
d) if vehicles or containers are used for food and non food materials / products a procedure should be in place to prevent contamination._x000D_
e) bulk containers must be for food (human food )or feed use (pet food) only. When required, they m+F62ust be dedicated to a specified material._x000D_
f) vehicles must be sealed to prevent tampering or contamination during transport.If evidence not found, please put 'evidence not found!', all the output should be in normal Text, removing the Markdown format</v>
      </c>
      <c r="J59" s="21" t="str">
        <f>SUBSTITUTE(RIGHT(D59,LEN(D59)-FIND("requirements:",D59)+3), "*", "-")</f>
        <v>g requirements:_x000D_
a) facilities to store ingredients, packaging and products shall be protected from dust, condensation , drains, waste and other sources of contamination._x000D_
b) areas shall be dry and well ventilated. Temperature, humidity and other environmental conditions have to be controlled when required by the material / product or storage specifications._x000D_
c) materials / products shall be stored off the floor and with sufficient space between the material / product and the wall to allow inspection and pest control activities._x000D_
d) stacked in a way as to prevent damage to the lower layers._x000D_
e) waste materials and chemicals (cleaning products, lubricants, pesticides) must be stored separately and in a secure manner (locked or with access controlled)._x000D_
f) any non-conforming materials /products must be segregated from conforming materials /products._x000D_
g) a quarantine area must be designated for the storage of non conforming materials /products._x000D_
h) stock rotation systems (FIFO/FEFO) must be followed._x000D_
I) gasoline or diesel-powered fork-lift trucks must not be used in food ingredient or product storage areas._x000D_
j) loading and unloading areas should be covered where possible, or risks must be evaluated and mitigated._x000D_
k)Pallets are in good condition and stored appropriately._x000D_
l) Product shall be store properly to prevent any cross contamination with any allergen stored in the area _x000D_
m) Procedure for cleaning of spills in the warehouse  shall be documented and implemented_x000D_
_x000D_
Vehicles, conveyances, and containers:_x000D_
a) must be in good conditions, clean, free of pests  and provide protection against damage or contamination of the product._x000D_
b) temperature and humidity must be controlled and recorded when required by the product;._x000D_
c) cleaning between loads is necessary when they are used for food material /product and non-food materials /products._x000D_
d) if vehicles or containers are used for food and non food materials / products a procedure should be in place to prevent contamination._x000D_
e) bulk containers must be for food (human food )or feed use (pet food) only. When required, they m+F62ust be dedicated to a specified material._x000D_
f) vehicles must be sealed to prevent tampering or contamination during transport.</v>
      </c>
    </row>
    <row r="60" spans="1:10" ht="409.6" thickBot="1">
      <c r="A60" s="7" t="s">
        <v>189</v>
      </c>
      <c r="B60" s="7" t="s">
        <v>190</v>
      </c>
      <c r="C60" s="7" t="s">
        <v>191</v>
      </c>
      <c r="D60" s="8" t="s">
        <v>192</v>
      </c>
      <c r="E60" s="19"/>
      <c r="F60" s="6" t="s">
        <v>288</v>
      </c>
      <c r="G60" s="9"/>
      <c r="I60" s="21" t="str">
        <f t="shared" si="2"/>
        <v>Base on the evidence in the knowledge pool, please sumarize in 300  to 500 words how this company meet the requirement on:  Supplier's laboratory is of suitable size and capacity  to perform the Mars tests. 
The laboratory has the appropriate equipment, in serviceable condition, to perform the required tests.
The laboratory ensures a clean, tidy and hygienic environment. If available, please summary these  _x000D_
Evidence:_x000D_
During lab visit and factory visit_x000D_
- Check records for the cleaning of the laboratory and  what is included, also check the SSOP is available_x000D_
- Check records for the environmental testing done ( where appropriate)  and verify that CA are documented _x000D_
- For microbiological lab, review sample and personnel flow to ensure there is no cross-traffic to prevent cross-contamination between the plant and on-site laboratoryIf evidence not found, please put 'evidence not found!', all the output should be in normal Text, removing the Markdown format</v>
      </c>
      <c r="J60" s="21" t="str">
        <f t="shared" si="1"/>
        <v>_x000D_
Evidence:_x000D_
During lab visit and factory visit_x000D_
- Check records for the cleaning of the laboratory and  what is included, also check the SSOP is available_x000D_
- Check records for the environmental testing done ( where appropriate)  and verify that CA are documented _x000D_
- For microbiological lab, review sample and personnel flow to ensure there is no cross-traffic to prevent cross-contamination between the plant and on-site laboratory</v>
      </c>
    </row>
    <row r="61" spans="1:10" ht="101.4" thickBot="1">
      <c r="A61" s="7" t="s">
        <v>27</v>
      </c>
      <c r="B61" s="7" t="s">
        <v>193</v>
      </c>
      <c r="C61" s="7" t="s">
        <v>194</v>
      </c>
      <c r="D61" s="8" t="s">
        <v>195</v>
      </c>
      <c r="E61" s="19"/>
      <c r="F61" s="6" t="s">
        <v>298</v>
      </c>
      <c r="G61" s="9"/>
      <c r="I61" s="21" t="e">
        <f t="shared" si="2"/>
        <v>#VALUE!</v>
      </c>
      <c r="J61" s="21" t="e">
        <f>SUBSTITUTE(RIGHT(D61,LEN(D61)-FIND("using:",D61)+3), "*", "-")</f>
        <v>#VALUE!</v>
      </c>
    </row>
    <row r="62" spans="1:10" ht="139.19999999999999" thickBot="1">
      <c r="A62" s="7" t="s">
        <v>27</v>
      </c>
      <c r="B62" s="7" t="s">
        <v>196</v>
      </c>
      <c r="C62" s="7" t="s">
        <v>197</v>
      </c>
      <c r="D62" s="8" t="s">
        <v>198</v>
      </c>
      <c r="E62" s="19"/>
      <c r="F62" s="25" t="s">
        <v>299</v>
      </c>
      <c r="G62" s="9"/>
      <c r="I62" s="21" t="e">
        <f t="shared" si="2"/>
        <v>#VALUE!</v>
      </c>
      <c r="J62" s="21" t="e">
        <f t="shared" si="1"/>
        <v>#VALUE!</v>
      </c>
    </row>
    <row r="63" spans="1:10" ht="151.80000000000001" thickBot="1">
      <c r="A63" s="7" t="s">
        <v>27</v>
      </c>
      <c r="B63" s="7" t="s">
        <v>199</v>
      </c>
      <c r="C63" s="7" t="s">
        <v>200</v>
      </c>
      <c r="D63" s="8" t="s">
        <v>201</v>
      </c>
      <c r="E63" s="19"/>
      <c r="F63" s="26" t="s">
        <v>300</v>
      </c>
      <c r="G63" s="9"/>
      <c r="I63" s="21" t="e">
        <f t="shared" si="2"/>
        <v>#VALUE!</v>
      </c>
      <c r="J63" s="21" t="e">
        <f>SUBSTITUTE(RIGHT(D63,LEN(D63)-FIND("Evidence",D63)+3), "*", "-")</f>
        <v>#VALUE!</v>
      </c>
    </row>
    <row r="64" spans="1:10" ht="76.2" thickBot="1">
      <c r="A64" s="7" t="s">
        <v>27</v>
      </c>
      <c r="B64" s="7" t="s">
        <v>202</v>
      </c>
      <c r="C64" s="7" t="s">
        <v>203</v>
      </c>
      <c r="D64" s="8" t="s">
        <v>204</v>
      </c>
      <c r="E64" s="19"/>
      <c r="F64" s="25" t="s">
        <v>301</v>
      </c>
      <c r="G64" s="9"/>
      <c r="I64" s="21" t="e">
        <f t="shared" si="2"/>
        <v>#VALUE!</v>
      </c>
      <c r="J64" s="21" t="e">
        <f>SUBSTITUTE(RIGHT(D64,LEN(D64)-FIND("evidence:-",D64)+3), "*", "-")</f>
        <v>#VALUE!</v>
      </c>
    </row>
    <row r="65" spans="1:10" ht="101.4" thickBot="1">
      <c r="A65" s="7" t="s">
        <v>27</v>
      </c>
      <c r="B65" s="7" t="s">
        <v>205</v>
      </c>
      <c r="C65" s="7" t="s">
        <v>206</v>
      </c>
      <c r="D65" s="8" t="s">
        <v>207</v>
      </c>
      <c r="E65" s="19"/>
      <c r="F65" s="26" t="s">
        <v>302</v>
      </c>
      <c r="G65" s="9"/>
      <c r="I65" s="21" t="e">
        <f t="shared" si="2"/>
        <v>#VALUE!</v>
      </c>
      <c r="J65" s="21" t="e">
        <f t="shared" si="1"/>
        <v>#VALUE!</v>
      </c>
    </row>
    <row r="66" spans="1:10" ht="366" thickBot="1">
      <c r="A66" s="7" t="s">
        <v>27</v>
      </c>
      <c r="B66" s="7" t="s">
        <v>208</v>
      </c>
      <c r="C66" s="7" t="s">
        <v>209</v>
      </c>
      <c r="D66" s="8" t="s">
        <v>210</v>
      </c>
      <c r="E66" s="19"/>
      <c r="F66" s="25" t="s">
        <v>303</v>
      </c>
      <c r="G66" s="9"/>
      <c r="I66" s="21" t="e">
        <f t="shared" si="2"/>
        <v>#VALUE!</v>
      </c>
      <c r="J66" s="21" t="e">
        <f>SUBSTITUTE(RIGHT(D66,LEN(D66)-FIND("Evidence",D66)+3), "*", "-")</f>
        <v>#VALUE!</v>
      </c>
    </row>
    <row r="67" spans="1:10" ht="88.8" thickBot="1">
      <c r="A67" s="7" t="s">
        <v>27</v>
      </c>
      <c r="B67" s="7" t="s">
        <v>211</v>
      </c>
      <c r="C67" s="7" t="s">
        <v>212</v>
      </c>
      <c r="D67" s="8" t="s">
        <v>213</v>
      </c>
      <c r="E67" s="19"/>
      <c r="F67" s="6"/>
      <c r="G67" s="9"/>
      <c r="I67" s="21" t="e">
        <f t="shared" si="2"/>
        <v>#VALUE!</v>
      </c>
      <c r="J67" s="21" t="e">
        <f>SUBSTITUTE(RIGHT(D67,LEN(D67)-FIND("Evidence",D67)+3), "*", "-")</f>
        <v>#VALUE!</v>
      </c>
    </row>
    <row r="68" spans="1:10" ht="38.4" thickBot="1">
      <c r="A68" s="7" t="s">
        <v>27</v>
      </c>
      <c r="B68" s="7" t="s">
        <v>214</v>
      </c>
      <c r="C68" s="7" t="s">
        <v>215</v>
      </c>
      <c r="D68" s="8" t="s">
        <v>216</v>
      </c>
      <c r="E68" s="19"/>
      <c r="F68" s="6"/>
      <c r="G68" s="9"/>
      <c r="I68" s="21" t="e">
        <f t="shared" si="2"/>
        <v>#VALUE!</v>
      </c>
      <c r="J68" s="21" t="e">
        <f t="shared" ref="J68:J73" si="3">SUBSTITUTE(RIGHT(D68,LEN(D68)-FIND("Evidence",D68)+3), "*", "-")</f>
        <v>#VALUE!</v>
      </c>
    </row>
    <row r="69" spans="1:10" ht="114" thickBot="1">
      <c r="A69" s="7" t="s">
        <v>27</v>
      </c>
      <c r="B69" s="7" t="s">
        <v>217</v>
      </c>
      <c r="C69" s="7" t="s">
        <v>218</v>
      </c>
      <c r="D69" s="8" t="s">
        <v>219</v>
      </c>
      <c r="E69" s="19"/>
      <c r="F69" s="6"/>
      <c r="G69" s="9"/>
      <c r="I69" s="21" t="e">
        <f t="shared" si="2"/>
        <v>#VALUE!</v>
      </c>
      <c r="J69" s="21" t="e">
        <f t="shared" si="3"/>
        <v>#VALUE!</v>
      </c>
    </row>
    <row r="70" spans="1:10" ht="409.6" thickBot="1">
      <c r="A70" s="7" t="s">
        <v>220</v>
      </c>
      <c r="B70" s="7" t="s">
        <v>221</v>
      </c>
      <c r="C70" s="7" t="s">
        <v>222</v>
      </c>
      <c r="D70" s="8" t="s">
        <v>223</v>
      </c>
      <c r="E70" s="19"/>
      <c r="F70" s="6" t="s">
        <v>289</v>
      </c>
      <c r="G70" s="9"/>
      <c r="I70" s="21" t="str">
        <f t="shared" si="2"/>
        <v>Base on the evidence in the knowledge pool, please sumarize in 300  to 500 words how this company meet the requirement on:  Q&amp;FS reviews_x000D_
_x000D_
Management confirms that the Q&amp;FS management system is working effectively through periodic &amp; structured reviews. If available, please summary these  _x000D_
Evidence include :_x000D_
- Q&amp;FS policy. Look for examples of how the policy supports meeting customer &amp; regulatory requirements or how it is used in decision making.                                 _x000D_
- Management Review Summary (report or presentation) to include KPIs for Q&amp;FS with trended results against targets, review of verification data from hazard analysis, critical incidents and recalls, results of CI projects, internal and external audit results (GFSI, Halal, Kosher, Customer...), supplier performance, emergency situations, hazard analysis review, etc._x000D_
- Analysis of the data to clearly show where areas are on or off track and recommendations for actions where needed._x000D_
- Decisions and actions from the meeting with evidence of follow up._x000D_
- Evidence of effective continuous improvement projects and management of these projects._x000D_
- Evidence of provision of resources_x000D_
- Revision of policy and objectives as appropriate..If evidence not found, please put 'evidence not found!', all the output should be in normal Text, removing the Markdown format</v>
      </c>
      <c r="J70" s="21" t="str">
        <f t="shared" si="3"/>
        <v>_x000D_
Evidence include :_x000D_
- Q&amp;FS policy. Look for examples of how the policy supports meeting customer &amp; regulatory requirements or how it is used in decision making.                                 _x000D_
- Management Review Summary (report or presentation) to include KPIs for Q&amp;FS with trended results against targets, review of verification data from hazard analysis, critical incidents and recalls, results of CI projects, internal and external audit results (GFSI, Halal, Kosher, Customer...), supplier performance, emergency situations, hazard analysis review, etc._x000D_
- Analysis of the data to clearly show where areas are on or off track and recommendations for actions where needed._x000D_
- Decisions and actions from the meeting with evidence of follow up._x000D_
- Evidence of effective continuous improvement projects and management of these projects._x000D_
- Evidence of provision of resources_x000D_
- Revision of policy and objectives as appropriate..</v>
      </c>
    </row>
    <row r="71" spans="1:10" ht="409.6" thickBot="1">
      <c r="A71" s="7" t="s">
        <v>27</v>
      </c>
      <c r="B71" s="7" t="s">
        <v>224</v>
      </c>
      <c r="C71" s="7" t="s">
        <v>225</v>
      </c>
      <c r="D71" s="8" t="s">
        <v>238</v>
      </c>
      <c r="E71" s="19"/>
      <c r="F71" s="6" t="s">
        <v>290</v>
      </c>
      <c r="G71" s="9"/>
      <c r="I71" s="21" t="str">
        <f t="shared" si="2"/>
        <v>Base on the evidence in the knowledge pool, please sumarize in 300  to 500 words how this company meet the requirement on:  Q&amp;FS System monitoring_x000D_
_x000D_
Q&amp;FS monitoring data is analysed to understand system effectiveness and  continuous improvements If available, please summary these  n relating to:-
-Customer satisfaction
-Conformity to quality, food safety and legal product requirements
-Characteristics and trends of processes and products, including opportunities for preventive actions; and supplier performance.
Where appropriate, a statistical approach to data must be used
Check that there is a  defined process in-place to manage performance monitoring and measurement.
Verify that an appropriate set of Q&amp;FS KPIs has been developed, with targets   
Check for evidence that action taken if results fall outside acceptable limits and does this action result in performance returning to target ?If evidence not found, please put 'evidence not found!', all the output should be in normal Text, removing the Markdown format</v>
      </c>
      <c r="J71" s="21" t="str">
        <f>SUBSTITUTE(RIGHT(D71,LEN(D71)-FIND("relating to",D71)+3), "*", "-")</f>
        <v>n relating to:-
-Customer satisfaction
-Conformity to quality, food safety and legal product requirements
-Characteristics and trends of processes and products, including opportunities for preventive actions; and supplier performance.
Where appropriate, a statistical approach to data must be used
Check that there is a  defined process in-place to manage performance monitoring and measurement.
Verify that an appropriate set of Q&amp;FS KPIs has been developed, with targets   
Check for evidence that action taken if results fall outside acceptable limits and does this action result in performance returning to target ?</v>
      </c>
    </row>
    <row r="72" spans="1:10" ht="409.6" thickBot="1">
      <c r="A72" s="7" t="s">
        <v>27</v>
      </c>
      <c r="B72" s="7" t="s">
        <v>226</v>
      </c>
      <c r="C72" s="7" t="s">
        <v>227</v>
      </c>
      <c r="D72" s="8" t="s">
        <v>228</v>
      </c>
      <c r="E72" s="19"/>
      <c r="F72" s="6" t="s">
        <v>291</v>
      </c>
      <c r="G72" s="9"/>
      <c r="I72" s="21" t="str">
        <f t="shared" si="2"/>
        <v>Base on the evidence in the knowledge pool, please sumarize in 300  to 500 words how this company meet the requirement on:  Internal Audit_x000D_
_x000D_
Regular internal audits are completed on the critical elements of the Quality and Food safety management system to ensure its effectiveness If available, please summary these  _x000D_
Evidence:-_x000D_
- Internal audit procedure_x000D_
- Internal audit plan, with scope and format of each audit defined and plan is implemented _x000D_
Ideally with inputs for focus areas collected during the year e.g. comments from last audit, customer audits, customer complaints have shown potential issues, or where new procedures have been implemented that need checking that they have been embedded. _x000D_
Evidence  _x000D_
- List of internal auditors with training records_x000D_
 ( competent auditors) and auditors would be impartial of the audit process to ensure objectivity _x000D_
- Evidence the audits are being completed on time_x000D_
- Audit reports with actions and evidence the necessary correction , corrective actions are taken within the agreed time frame_x000D_
- Summary of the audit findings and actions is taken into the management review/quality review/ food safety team _x000D_
- Trends of audit findings _x000D_
- review of the internal audit program including trends with key management via management review or other defined forumIf evidence not found, please put 'evidence not found!', all the output should be in normal Text, removing the Markdown format</v>
      </c>
      <c r="J72" s="21" t="str">
        <f t="shared" si="3"/>
        <v>_x000D_
Evidence:-_x000D_
- Internal audit procedure_x000D_
- Internal audit plan, with scope and format of each audit defined and plan is implemented _x000D_
Ideally with inputs for focus areas collected during the year e.g. comments from last audit, customer audits, customer complaints have shown potential issues, or where new procedures have been implemented that need checking that they have been embedded. _x000D_
Evidence  _x000D_
- List of internal auditors with training records_x000D_
 ( competent auditors) and auditors would be impartial of the audit process to ensure objectivity _x000D_
- Evidence the audits are being completed on time_x000D_
- Audit reports with actions and evidence the necessary correction , corrective actions are taken within the agreed time frame_x000D_
- Summary of the audit findings and actions is taken into the management review/quality review/ food safety team _x000D_
- Trends of audit findings _x000D_
- review of the internal audit program including trends with key management via management review or other defined forum</v>
      </c>
    </row>
    <row r="73" spans="1:10" ht="409.6" thickBot="1">
      <c r="A73" s="7" t="s">
        <v>229</v>
      </c>
      <c r="B73" s="7" t="s">
        <v>230</v>
      </c>
      <c r="C73" s="7" t="s">
        <v>231</v>
      </c>
      <c r="D73" s="8" t="s">
        <v>232</v>
      </c>
      <c r="E73" s="19"/>
      <c r="F73" s="6" t="s">
        <v>292</v>
      </c>
      <c r="G73" s="9"/>
      <c r="I73" s="21" t="str">
        <f t="shared" si="2"/>
        <v>Base on the evidence in the knowledge pool, please sumarize in 300  to 500 words how this company meet the requirement on:  Action to Improve the Q&amp;FS system_x000D_
_x000D_
The supplier ensures continual improvement of the quality and food safety management system If available, please summary these  _x000D_
Evidence  : _x000D_
-Review CI project documentation to check for clear targets , measured etc._x000D_
-CI project information available and published ( i.e.. Senior management  communication , notice boards ) _x000D_
-Training and competency on CI project management tools (6 sigma) _x000D_
_x000D_
PDCA: Plan–Do–Check–ActIf evidence not found, please put 'evidence not found!', all the output should be in normal Text, removing the Markdown format</v>
      </c>
      <c r="J73" s="21" t="str">
        <f t="shared" si="3"/>
        <v>_x000D_
Evidence  : _x000D_
-Review CI project documentation to check for clear targets , measured etc._x000D_
-CI project information available and published ( i.e.. Senior management  communication , notice boards ) _x000D_
-Training and competency on CI project management tools (6 sigma) _x000D_
_x000D_
PDCA: Plan–Do–Check–Act</v>
      </c>
    </row>
    <row r="74" spans="1:10" ht="409.6" thickBot="1">
      <c r="A74" s="7" t="s">
        <v>27</v>
      </c>
      <c r="B74" s="7" t="s">
        <v>233</v>
      </c>
      <c r="C74" s="7" t="s">
        <v>234</v>
      </c>
      <c r="D74" s="8" t="s">
        <v>235</v>
      </c>
      <c r="E74" s="19"/>
      <c r="F74" s="6" t="s">
        <v>293</v>
      </c>
      <c r="G74" s="9"/>
      <c r="I74" s="21" t="str">
        <f t="shared" si="2"/>
        <v>Base on the evidence in the knowledge pool, please sumarize in 300  to 500 words how this company meet the requirement on:  Correction, Corrective Actions for Non Conformances _x000D_
_x000D_
Corrective Action must be taken to correct non-conformities through the implementation of appropriate actions to contain and manage the issue. If available, please summary these  _x000D_
Evidence: _x000D_
Review examples of CAPA_x000D_
-Check that Procedures for management of Non Conformances and CAPA is  documented_x000D_
-Check that a robust root cause analysis was undertaken for each non-conformity requiring corrective action and that it adequately addressed the non-conformity and effectiveness are reviewed , measured and monitored_x000D_
-Have associates undertaking root cause analysis been trained in appropriate root cause analysis techniques/methodologies? _x000D_
-Check if there are repeat issues with the same root cause to validate effectiveness._x000D_
- Check that supplier keep a track of NC and CAPAs generated _x000D_
- if Mars has a S-CAPA or NC generated for the supplier you are auditing's check that is in the tracker, the root cause is documented and that all established actions were implemented, effectiveness  verified and timely closed_x000D_
-Determine if appropriate and effective actions are taken in accordance to the degree of the risk _x000D_
-Are  CAPA's are being closed within specific timelines  and an owner identified _x000D_
-Documented and  communicated as required effectivelyIf evidence not found, please put 'evidence not found!', all the output should be in normal Text, removing the Markdown format</v>
      </c>
      <c r="J74" s="21" t="str">
        <f t="shared" ref="J74" si="4">SUBSTITUTE(RIGHT(D74,LEN(D74)-FIND("Evidence",D74)+3), "*", "-")</f>
        <v>_x000D_
Evidence: _x000D_
Review examples of CAPA_x000D_
-Check that Procedures for management of Non Conformances and CAPA is  documented_x000D_
-Check that a robust root cause analysis was undertaken for each non-conformity requiring corrective action and that it adequately addressed the non-conformity and effectiveness are reviewed , measured and monitored_x000D_
-Have associates undertaking root cause analysis been trained in appropriate root cause analysis techniques/methodologies? _x000D_
-Check if there are repeat issues with the same root cause to validate effectiveness._x000D_
- Check that supplier keep a track of NC and CAPAs generated _x000D_
- if Mars has a S-CAPA or NC generated for the supplier you are auditing's check that is in the tracker, the root cause is documented and that all established actions were implemented, effectiveness  verified and timely closed_x000D_
-Determine if appropriate and effective actions are taken in accordance to the degree of the risk _x000D_
-Are  CAPA's are being closed within specific timelines  and an owner identified _x000D_
-Documented and  communicated as required effectively</v>
      </c>
    </row>
    <row r="75" spans="1:10" ht="13.2" thickBot="1">
      <c r="A75" s="7" t="s">
        <v>27</v>
      </c>
      <c r="B75" s="7" t="s">
        <v>27</v>
      </c>
      <c r="C75" s="7" t="s">
        <v>27</v>
      </c>
      <c r="D75" s="8" t="s">
        <v>27</v>
      </c>
      <c r="E75" s="19" t="s">
        <v>27</v>
      </c>
      <c r="F75" s="6" t="s">
        <v>27</v>
      </c>
      <c r="G75" s="9" t="s">
        <v>27</v>
      </c>
      <c r="I75" s="18"/>
    </row>
    <row r="76" spans="1:10" ht="13.2" thickBot="1">
      <c r="A76" s="7" t="s">
        <v>27</v>
      </c>
      <c r="B76" s="7" t="s">
        <v>27</v>
      </c>
      <c r="C76" s="7" t="s">
        <v>27</v>
      </c>
      <c r="D76" s="8" t="s">
        <v>27</v>
      </c>
      <c r="E76" s="19" t="s">
        <v>27</v>
      </c>
      <c r="F76" s="6" t="s">
        <v>27</v>
      </c>
      <c r="G76" s="9" t="s">
        <v>27</v>
      </c>
      <c r="I76" s="18"/>
    </row>
    <row r="77" spans="1:10" ht="13.2" thickBot="1">
      <c r="A77" s="7" t="s">
        <v>27</v>
      </c>
      <c r="B77" s="7" t="s">
        <v>27</v>
      </c>
      <c r="C77" s="7" t="s">
        <v>27</v>
      </c>
      <c r="D77" s="8" t="s">
        <v>27</v>
      </c>
      <c r="E77" s="19" t="s">
        <v>27</v>
      </c>
      <c r="F77" s="6" t="s">
        <v>27</v>
      </c>
      <c r="G77" s="9" t="s">
        <v>27</v>
      </c>
      <c r="I77" s="18"/>
    </row>
    <row r="78" spans="1:10" ht="13.2" thickBot="1">
      <c r="A78" s="7" t="s">
        <v>27</v>
      </c>
      <c r="B78" s="7" t="s">
        <v>27</v>
      </c>
      <c r="C78" s="7" t="s">
        <v>27</v>
      </c>
      <c r="D78" s="8" t="s">
        <v>27</v>
      </c>
      <c r="E78" s="19" t="s">
        <v>27</v>
      </c>
      <c r="F78" s="6" t="s">
        <v>27</v>
      </c>
      <c r="G78" s="9" t="s">
        <v>27</v>
      </c>
      <c r="I78" s="18"/>
    </row>
    <row r="79" spans="1:10" ht="13.2" thickBot="1">
      <c r="A79" s="7" t="s">
        <v>27</v>
      </c>
      <c r="B79" s="7" t="s">
        <v>27</v>
      </c>
      <c r="C79" s="7" t="s">
        <v>27</v>
      </c>
      <c r="D79" s="8" t="s">
        <v>27</v>
      </c>
      <c r="E79" s="19" t="s">
        <v>27</v>
      </c>
      <c r="F79" s="6" t="s">
        <v>27</v>
      </c>
      <c r="G79" s="9" t="s">
        <v>27</v>
      </c>
      <c r="I79" s="18"/>
    </row>
    <row r="80" spans="1:10" ht="13.2" thickBot="1">
      <c r="A80" s="7" t="s">
        <v>27</v>
      </c>
      <c r="B80" s="7" t="s">
        <v>27</v>
      </c>
      <c r="C80" s="7" t="s">
        <v>27</v>
      </c>
      <c r="D80" s="8" t="s">
        <v>27</v>
      </c>
      <c r="E80" s="19" t="s">
        <v>27</v>
      </c>
      <c r="F80" s="6" t="s">
        <v>27</v>
      </c>
      <c r="G80" s="9" t="s">
        <v>27</v>
      </c>
      <c r="I80" s="18"/>
    </row>
    <row r="81" spans="1:9" ht="13.2" thickBot="1">
      <c r="A81" s="7" t="s">
        <v>27</v>
      </c>
      <c r="B81" s="7" t="s">
        <v>27</v>
      </c>
      <c r="C81" s="7" t="s">
        <v>27</v>
      </c>
      <c r="D81" s="8" t="s">
        <v>27</v>
      </c>
      <c r="E81" s="19" t="s">
        <v>27</v>
      </c>
      <c r="F81" s="6" t="s">
        <v>27</v>
      </c>
      <c r="G81" s="9" t="s">
        <v>27</v>
      </c>
      <c r="I81" s="18"/>
    </row>
    <row r="82" spans="1:9" ht="13.2" thickBot="1">
      <c r="A82" s="7" t="s">
        <v>27</v>
      </c>
      <c r="B82" s="7" t="s">
        <v>27</v>
      </c>
      <c r="C82" s="7" t="s">
        <v>27</v>
      </c>
      <c r="D82" s="8" t="s">
        <v>27</v>
      </c>
      <c r="E82" s="19" t="s">
        <v>27</v>
      </c>
      <c r="F82" s="6" t="s">
        <v>27</v>
      </c>
      <c r="G82" s="9" t="s">
        <v>27</v>
      </c>
      <c r="I82" s="18"/>
    </row>
    <row r="83" spans="1:9" ht="13.2" thickBot="1">
      <c r="A83" s="7" t="s">
        <v>27</v>
      </c>
      <c r="B83" s="7" t="s">
        <v>27</v>
      </c>
      <c r="C83" s="7" t="s">
        <v>27</v>
      </c>
      <c r="D83" s="8" t="s">
        <v>27</v>
      </c>
      <c r="E83" s="19" t="s">
        <v>27</v>
      </c>
      <c r="F83" s="6" t="s">
        <v>27</v>
      </c>
      <c r="G83" s="9" t="s">
        <v>27</v>
      </c>
      <c r="I83" s="18"/>
    </row>
    <row r="84" spans="1:9" ht="13.2" thickBot="1">
      <c r="A84" s="7" t="s">
        <v>27</v>
      </c>
      <c r="B84" s="7" t="s">
        <v>27</v>
      </c>
      <c r="C84" s="7" t="s">
        <v>27</v>
      </c>
      <c r="D84" s="8" t="s">
        <v>27</v>
      </c>
      <c r="E84" s="19" t="s">
        <v>27</v>
      </c>
      <c r="F84" s="6" t="s">
        <v>27</v>
      </c>
      <c r="G84" s="9" t="s">
        <v>27</v>
      </c>
      <c r="I84" s="18"/>
    </row>
    <row r="85" spans="1:9" ht="13.2" thickBot="1">
      <c r="A85" s="7" t="s">
        <v>27</v>
      </c>
      <c r="B85" s="7" t="s">
        <v>27</v>
      </c>
      <c r="C85" s="7" t="s">
        <v>27</v>
      </c>
      <c r="D85" s="8" t="s">
        <v>27</v>
      </c>
      <c r="E85" s="19" t="s">
        <v>27</v>
      </c>
      <c r="F85" s="6" t="s">
        <v>27</v>
      </c>
      <c r="G85" s="9" t="s">
        <v>27</v>
      </c>
      <c r="I85" s="18"/>
    </row>
    <row r="86" spans="1:9" ht="13.2" thickBot="1">
      <c r="A86" s="7" t="s">
        <v>27</v>
      </c>
      <c r="B86" s="7" t="s">
        <v>27</v>
      </c>
      <c r="C86" s="7" t="s">
        <v>27</v>
      </c>
      <c r="D86" s="8" t="s">
        <v>27</v>
      </c>
      <c r="E86" s="19" t="s">
        <v>27</v>
      </c>
      <c r="F86" s="6" t="s">
        <v>27</v>
      </c>
      <c r="G86" s="9" t="s">
        <v>27</v>
      </c>
      <c r="I86" s="18"/>
    </row>
    <row r="87" spans="1:9" ht="13.2" thickBot="1">
      <c r="A87" s="7" t="s">
        <v>27</v>
      </c>
      <c r="B87" s="7" t="s">
        <v>27</v>
      </c>
      <c r="C87" s="7" t="s">
        <v>27</v>
      </c>
      <c r="D87" s="8" t="s">
        <v>27</v>
      </c>
      <c r="E87" s="19" t="s">
        <v>27</v>
      </c>
      <c r="F87" s="6" t="s">
        <v>27</v>
      </c>
      <c r="G87" s="9" t="s">
        <v>27</v>
      </c>
      <c r="I87" s="18"/>
    </row>
    <row r="88" spans="1:9" ht="13.2" thickBot="1">
      <c r="A88" s="7" t="s">
        <v>27</v>
      </c>
      <c r="B88" s="7" t="s">
        <v>27</v>
      </c>
      <c r="C88" s="7" t="s">
        <v>27</v>
      </c>
      <c r="D88" s="8" t="s">
        <v>27</v>
      </c>
      <c r="E88" s="19" t="s">
        <v>27</v>
      </c>
      <c r="F88" s="6" t="s">
        <v>27</v>
      </c>
      <c r="G88" s="9" t="s">
        <v>27</v>
      </c>
      <c r="I88" s="18"/>
    </row>
    <row r="89" spans="1:9" ht="13.2" thickBot="1">
      <c r="A89" s="7" t="s">
        <v>27</v>
      </c>
      <c r="B89" s="7" t="s">
        <v>27</v>
      </c>
      <c r="C89" s="7" t="s">
        <v>27</v>
      </c>
      <c r="D89" s="8" t="s">
        <v>27</v>
      </c>
      <c r="E89" s="19" t="s">
        <v>27</v>
      </c>
      <c r="F89" s="6" t="s">
        <v>27</v>
      </c>
      <c r="G89" s="9" t="s">
        <v>27</v>
      </c>
      <c r="I89" s="18"/>
    </row>
    <row r="90" spans="1:9" ht="13.2" thickBot="1">
      <c r="A90" s="7" t="s">
        <v>27</v>
      </c>
      <c r="B90" s="7" t="s">
        <v>27</v>
      </c>
      <c r="C90" s="7" t="s">
        <v>27</v>
      </c>
      <c r="D90" s="8" t="s">
        <v>27</v>
      </c>
      <c r="E90" s="19" t="s">
        <v>27</v>
      </c>
      <c r="F90" s="6" t="s">
        <v>27</v>
      </c>
      <c r="G90" s="9" t="s">
        <v>27</v>
      </c>
      <c r="I90" s="18"/>
    </row>
    <row r="91" spans="1:9" ht="13.2" thickBot="1">
      <c r="A91" s="7" t="s">
        <v>27</v>
      </c>
      <c r="B91" s="7" t="s">
        <v>27</v>
      </c>
      <c r="C91" s="7" t="s">
        <v>27</v>
      </c>
      <c r="D91" s="8" t="s">
        <v>27</v>
      </c>
      <c r="E91" s="19" t="s">
        <v>27</v>
      </c>
      <c r="F91" s="6" t="s">
        <v>27</v>
      </c>
      <c r="G91" s="9" t="s">
        <v>27</v>
      </c>
      <c r="I91" s="18"/>
    </row>
    <row r="92" spans="1:9" ht="13.2" thickBot="1">
      <c r="A92" s="7" t="s">
        <v>27</v>
      </c>
      <c r="B92" s="7" t="s">
        <v>27</v>
      </c>
      <c r="C92" s="7" t="s">
        <v>27</v>
      </c>
      <c r="D92" s="8" t="s">
        <v>27</v>
      </c>
      <c r="E92" s="19" t="s">
        <v>27</v>
      </c>
      <c r="F92" s="6" t="s">
        <v>27</v>
      </c>
      <c r="G92" s="9" t="s">
        <v>27</v>
      </c>
      <c r="I92" s="18"/>
    </row>
    <row r="93" spans="1:9" ht="13.2" thickBot="1">
      <c r="A93" s="7" t="s">
        <v>27</v>
      </c>
      <c r="B93" s="7" t="s">
        <v>27</v>
      </c>
      <c r="C93" s="7" t="s">
        <v>27</v>
      </c>
      <c r="D93" s="8" t="s">
        <v>27</v>
      </c>
      <c r="E93" s="19" t="s">
        <v>27</v>
      </c>
      <c r="F93" s="6" t="s">
        <v>27</v>
      </c>
      <c r="G93" s="9" t="s">
        <v>27</v>
      </c>
      <c r="I93" s="18"/>
    </row>
    <row r="94" spans="1:9" ht="13.2" thickBot="1">
      <c r="A94" s="7" t="s">
        <v>27</v>
      </c>
      <c r="B94" s="7" t="s">
        <v>27</v>
      </c>
      <c r="C94" s="7" t="s">
        <v>27</v>
      </c>
      <c r="D94" s="8" t="s">
        <v>27</v>
      </c>
      <c r="E94" s="19" t="s">
        <v>27</v>
      </c>
      <c r="F94" s="6" t="s">
        <v>27</v>
      </c>
      <c r="G94" s="9" t="s">
        <v>27</v>
      </c>
      <c r="I94" s="18"/>
    </row>
    <row r="95" spans="1:9" ht="13.2" thickBot="1">
      <c r="A95" s="7" t="s">
        <v>27</v>
      </c>
      <c r="B95" s="7" t="s">
        <v>27</v>
      </c>
      <c r="C95" s="7" t="s">
        <v>27</v>
      </c>
      <c r="D95" s="8" t="s">
        <v>27</v>
      </c>
      <c r="E95" s="19" t="s">
        <v>27</v>
      </c>
      <c r="F95" s="6" t="s">
        <v>27</v>
      </c>
      <c r="G95" s="9" t="s">
        <v>27</v>
      </c>
      <c r="I95" s="18"/>
    </row>
    <row r="96" spans="1:9" ht="13.2" thickBot="1">
      <c r="A96" s="7" t="s">
        <v>27</v>
      </c>
      <c r="B96" s="7" t="s">
        <v>27</v>
      </c>
      <c r="C96" s="7" t="s">
        <v>27</v>
      </c>
      <c r="D96" s="8" t="s">
        <v>27</v>
      </c>
      <c r="E96" s="19" t="s">
        <v>27</v>
      </c>
      <c r="F96" s="6" t="s">
        <v>27</v>
      </c>
      <c r="G96" s="9" t="s">
        <v>27</v>
      </c>
      <c r="I96" s="18"/>
    </row>
    <row r="97" spans="1:9" ht="13.2" thickBot="1">
      <c r="A97" s="7" t="s">
        <v>27</v>
      </c>
      <c r="B97" s="7" t="s">
        <v>27</v>
      </c>
      <c r="C97" s="7" t="s">
        <v>27</v>
      </c>
      <c r="D97" s="8" t="s">
        <v>27</v>
      </c>
      <c r="E97" s="19" t="s">
        <v>27</v>
      </c>
      <c r="F97" s="6" t="s">
        <v>27</v>
      </c>
      <c r="G97" s="9" t="s">
        <v>27</v>
      </c>
      <c r="I97" s="18"/>
    </row>
    <row r="98" spans="1:9" ht="13.2" thickBot="1">
      <c r="A98" s="7" t="s">
        <v>27</v>
      </c>
      <c r="B98" s="7" t="s">
        <v>27</v>
      </c>
      <c r="C98" s="7" t="s">
        <v>27</v>
      </c>
      <c r="D98" s="8" t="s">
        <v>27</v>
      </c>
      <c r="E98" s="19" t="s">
        <v>27</v>
      </c>
      <c r="F98" s="6" t="s">
        <v>27</v>
      </c>
      <c r="G98" s="9" t="s">
        <v>27</v>
      </c>
      <c r="I98" s="18"/>
    </row>
    <row r="99" spans="1:9" ht="13.2" thickBot="1">
      <c r="A99" s="7" t="s">
        <v>27</v>
      </c>
      <c r="B99" s="7" t="s">
        <v>27</v>
      </c>
      <c r="C99" s="7" t="s">
        <v>27</v>
      </c>
      <c r="D99" s="8" t="s">
        <v>27</v>
      </c>
      <c r="E99" s="19" t="s">
        <v>27</v>
      </c>
      <c r="F99" s="6" t="s">
        <v>27</v>
      </c>
      <c r="G99" s="9" t="s">
        <v>27</v>
      </c>
      <c r="I99" s="18"/>
    </row>
    <row r="100" spans="1:9" ht="13.2" thickBot="1">
      <c r="A100" s="7" t="s">
        <v>27</v>
      </c>
      <c r="B100" s="7" t="s">
        <v>27</v>
      </c>
      <c r="C100" s="7" t="s">
        <v>27</v>
      </c>
      <c r="D100" s="8" t="s">
        <v>27</v>
      </c>
      <c r="E100" s="19" t="s">
        <v>27</v>
      </c>
      <c r="F100" s="6" t="s">
        <v>27</v>
      </c>
      <c r="G100" s="9" t="s">
        <v>27</v>
      </c>
      <c r="I100" s="18"/>
    </row>
    <row r="101" spans="1:9" ht="13.2" thickBot="1">
      <c r="A101" s="7" t="s">
        <v>27</v>
      </c>
      <c r="B101" s="7" t="s">
        <v>27</v>
      </c>
      <c r="C101" s="7" t="s">
        <v>27</v>
      </c>
      <c r="D101" s="8" t="s">
        <v>27</v>
      </c>
      <c r="E101" s="19" t="s">
        <v>27</v>
      </c>
      <c r="F101" s="6" t="s">
        <v>27</v>
      </c>
      <c r="G101" s="9" t="s">
        <v>27</v>
      </c>
      <c r="I101" s="18"/>
    </row>
    <row r="102" spans="1:9" ht="13.2" thickBot="1">
      <c r="A102" s="7" t="s">
        <v>27</v>
      </c>
      <c r="B102" s="7" t="s">
        <v>27</v>
      </c>
      <c r="C102" s="7" t="s">
        <v>27</v>
      </c>
      <c r="D102" s="8" t="s">
        <v>27</v>
      </c>
      <c r="E102" s="19" t="s">
        <v>27</v>
      </c>
      <c r="F102" s="6" t="s">
        <v>27</v>
      </c>
      <c r="G102" s="9" t="s">
        <v>27</v>
      </c>
      <c r="I102" s="18"/>
    </row>
    <row r="103" spans="1:9" ht="13.2" thickBot="1">
      <c r="A103" s="7" t="s">
        <v>27</v>
      </c>
      <c r="B103" s="7" t="s">
        <v>27</v>
      </c>
      <c r="C103" s="7" t="s">
        <v>27</v>
      </c>
      <c r="D103" s="8" t="s">
        <v>27</v>
      </c>
      <c r="E103" s="19" t="s">
        <v>27</v>
      </c>
      <c r="F103" s="6" t="s">
        <v>27</v>
      </c>
      <c r="G103" s="9" t="s">
        <v>27</v>
      </c>
      <c r="I103" s="18"/>
    </row>
    <row r="104" spans="1:9" ht="13.2" thickBot="1">
      <c r="A104" s="7" t="s">
        <v>27</v>
      </c>
      <c r="B104" s="7" t="s">
        <v>27</v>
      </c>
      <c r="C104" s="7" t="s">
        <v>27</v>
      </c>
      <c r="D104" s="8" t="s">
        <v>27</v>
      </c>
      <c r="E104" s="19" t="s">
        <v>27</v>
      </c>
      <c r="F104" s="6" t="s">
        <v>27</v>
      </c>
      <c r="G104" s="9" t="s">
        <v>27</v>
      </c>
      <c r="I104" s="18"/>
    </row>
    <row r="105" spans="1:9" ht="13.2" thickBot="1">
      <c r="A105" s="7" t="s">
        <v>27</v>
      </c>
      <c r="B105" s="7" t="s">
        <v>27</v>
      </c>
      <c r="C105" s="7" t="s">
        <v>27</v>
      </c>
      <c r="D105" s="8" t="s">
        <v>27</v>
      </c>
      <c r="E105" s="19" t="s">
        <v>27</v>
      </c>
      <c r="F105" s="6" t="s">
        <v>27</v>
      </c>
      <c r="G105" s="9" t="s">
        <v>27</v>
      </c>
      <c r="I105" s="18"/>
    </row>
    <row r="106" spans="1:9" ht="13.2" thickBot="1">
      <c r="A106" s="7" t="s">
        <v>27</v>
      </c>
      <c r="B106" s="7" t="s">
        <v>27</v>
      </c>
      <c r="C106" s="7" t="s">
        <v>27</v>
      </c>
      <c r="D106" s="8" t="s">
        <v>27</v>
      </c>
      <c r="E106" s="19" t="s">
        <v>27</v>
      </c>
      <c r="F106" s="6" t="s">
        <v>27</v>
      </c>
      <c r="G106" s="9" t="s">
        <v>27</v>
      </c>
      <c r="I106" s="18"/>
    </row>
    <row r="107" spans="1:9" ht="13.2" thickBot="1">
      <c r="A107" s="7" t="s">
        <v>27</v>
      </c>
      <c r="B107" s="7" t="s">
        <v>27</v>
      </c>
      <c r="C107" s="7" t="s">
        <v>27</v>
      </c>
      <c r="D107" s="8" t="s">
        <v>27</v>
      </c>
      <c r="E107" s="19" t="s">
        <v>27</v>
      </c>
      <c r="F107" s="6" t="s">
        <v>27</v>
      </c>
      <c r="G107" s="9" t="s">
        <v>27</v>
      </c>
      <c r="I107" s="18"/>
    </row>
    <row r="108" spans="1:9" ht="13.2" thickBot="1">
      <c r="A108" s="7" t="s">
        <v>27</v>
      </c>
      <c r="B108" s="7" t="s">
        <v>27</v>
      </c>
      <c r="C108" s="7" t="s">
        <v>27</v>
      </c>
      <c r="D108" s="8" t="s">
        <v>27</v>
      </c>
      <c r="E108" s="19" t="s">
        <v>27</v>
      </c>
      <c r="F108" s="6" t="s">
        <v>27</v>
      </c>
      <c r="G108" s="9" t="s">
        <v>27</v>
      </c>
      <c r="I108" s="18"/>
    </row>
    <row r="109" spans="1:9" ht="13.2" thickBot="1">
      <c r="A109" s="7" t="s">
        <v>27</v>
      </c>
      <c r="B109" s="7" t="s">
        <v>27</v>
      </c>
      <c r="C109" s="7" t="s">
        <v>27</v>
      </c>
      <c r="D109" s="8" t="s">
        <v>27</v>
      </c>
      <c r="E109" s="19" t="s">
        <v>27</v>
      </c>
      <c r="F109" s="6" t="s">
        <v>27</v>
      </c>
      <c r="G109" s="9" t="s">
        <v>27</v>
      </c>
      <c r="I109" s="18"/>
    </row>
    <row r="110" spans="1:9" ht="13.2" thickBot="1">
      <c r="A110" s="7" t="s">
        <v>27</v>
      </c>
      <c r="B110" s="7" t="s">
        <v>27</v>
      </c>
      <c r="C110" s="7" t="s">
        <v>27</v>
      </c>
      <c r="D110" s="8" t="s">
        <v>27</v>
      </c>
      <c r="E110" s="19" t="s">
        <v>27</v>
      </c>
      <c r="F110" s="6" t="s">
        <v>27</v>
      </c>
      <c r="G110" s="9" t="s">
        <v>27</v>
      </c>
      <c r="I110" s="18"/>
    </row>
    <row r="111" spans="1:9" ht="13.2" thickBot="1">
      <c r="A111" s="7" t="s">
        <v>27</v>
      </c>
      <c r="B111" s="7" t="s">
        <v>27</v>
      </c>
      <c r="C111" s="7" t="s">
        <v>27</v>
      </c>
      <c r="D111" s="8" t="s">
        <v>27</v>
      </c>
      <c r="E111" s="19" t="s">
        <v>27</v>
      </c>
      <c r="F111" s="6" t="s">
        <v>27</v>
      </c>
      <c r="G111" s="9" t="s">
        <v>27</v>
      </c>
      <c r="I111" s="18"/>
    </row>
    <row r="112" spans="1:9" ht="13.2" thickBot="1">
      <c r="A112" s="7" t="s">
        <v>27</v>
      </c>
      <c r="B112" s="7" t="s">
        <v>27</v>
      </c>
      <c r="C112" s="7" t="s">
        <v>27</v>
      </c>
      <c r="D112" s="8" t="s">
        <v>27</v>
      </c>
      <c r="E112" s="19" t="s">
        <v>27</v>
      </c>
      <c r="F112" s="6" t="s">
        <v>27</v>
      </c>
      <c r="G112" s="9" t="s">
        <v>27</v>
      </c>
      <c r="I112" s="18"/>
    </row>
    <row r="113" spans="1:9" ht="13.2" thickBot="1">
      <c r="A113" s="7" t="s">
        <v>27</v>
      </c>
      <c r="B113" s="7" t="s">
        <v>27</v>
      </c>
      <c r="C113" s="7" t="s">
        <v>27</v>
      </c>
      <c r="D113" s="8" t="s">
        <v>27</v>
      </c>
      <c r="E113" s="19" t="s">
        <v>27</v>
      </c>
      <c r="F113" s="6" t="s">
        <v>27</v>
      </c>
      <c r="G113" s="9" t="s">
        <v>27</v>
      </c>
      <c r="I113" s="18"/>
    </row>
    <row r="114" spans="1:9" ht="13.2" thickBot="1">
      <c r="A114" s="7" t="s">
        <v>27</v>
      </c>
      <c r="B114" s="7" t="s">
        <v>27</v>
      </c>
      <c r="C114" s="7" t="s">
        <v>27</v>
      </c>
      <c r="D114" s="8" t="s">
        <v>27</v>
      </c>
      <c r="E114" s="19" t="s">
        <v>27</v>
      </c>
      <c r="F114" s="6" t="s">
        <v>27</v>
      </c>
      <c r="G114" s="9" t="s">
        <v>27</v>
      </c>
      <c r="I114" s="18"/>
    </row>
    <row r="115" spans="1:9" ht="13.2" thickBot="1">
      <c r="A115" s="7" t="s">
        <v>27</v>
      </c>
      <c r="B115" s="7" t="s">
        <v>27</v>
      </c>
      <c r="C115" s="7" t="s">
        <v>27</v>
      </c>
      <c r="D115" s="8" t="s">
        <v>27</v>
      </c>
      <c r="E115" s="19" t="s">
        <v>27</v>
      </c>
      <c r="F115" s="6" t="s">
        <v>27</v>
      </c>
      <c r="G115" s="9" t="s">
        <v>27</v>
      </c>
      <c r="I115" s="18"/>
    </row>
    <row r="116" spans="1:9" ht="13.2" thickBot="1">
      <c r="A116" s="7" t="s">
        <v>27</v>
      </c>
      <c r="B116" s="7" t="s">
        <v>27</v>
      </c>
      <c r="C116" s="7" t="s">
        <v>27</v>
      </c>
      <c r="D116" s="8" t="s">
        <v>27</v>
      </c>
      <c r="E116" s="19" t="s">
        <v>27</v>
      </c>
      <c r="F116" s="6" t="s">
        <v>27</v>
      </c>
      <c r="G116" s="9" t="s">
        <v>27</v>
      </c>
      <c r="I116" s="18"/>
    </row>
    <row r="117" spans="1:9" ht="13.2" thickBot="1">
      <c r="A117" s="7" t="s">
        <v>27</v>
      </c>
      <c r="B117" s="7" t="s">
        <v>27</v>
      </c>
      <c r="C117" s="7" t="s">
        <v>27</v>
      </c>
      <c r="D117" s="8" t="s">
        <v>27</v>
      </c>
      <c r="E117" s="19" t="s">
        <v>27</v>
      </c>
      <c r="F117" s="6" t="s">
        <v>27</v>
      </c>
      <c r="G117" s="9" t="s">
        <v>27</v>
      </c>
      <c r="I117" s="18"/>
    </row>
    <row r="118" spans="1:9" ht="13.2" thickBot="1">
      <c r="A118" s="7" t="s">
        <v>27</v>
      </c>
      <c r="B118" s="7" t="s">
        <v>27</v>
      </c>
      <c r="C118" s="7" t="s">
        <v>27</v>
      </c>
      <c r="D118" s="8" t="s">
        <v>27</v>
      </c>
      <c r="E118" s="19" t="s">
        <v>27</v>
      </c>
      <c r="F118" s="6" t="s">
        <v>27</v>
      </c>
      <c r="G118" s="9" t="s">
        <v>27</v>
      </c>
      <c r="I118" s="18"/>
    </row>
    <row r="119" spans="1:9" ht="13.2" thickBot="1">
      <c r="A119" s="7" t="s">
        <v>27</v>
      </c>
      <c r="B119" s="7" t="s">
        <v>27</v>
      </c>
      <c r="C119" s="7" t="s">
        <v>27</v>
      </c>
      <c r="D119" s="8" t="s">
        <v>27</v>
      </c>
      <c r="E119" s="19" t="s">
        <v>27</v>
      </c>
      <c r="F119" s="6" t="s">
        <v>27</v>
      </c>
      <c r="G119" s="9" t="s">
        <v>27</v>
      </c>
      <c r="I119" s="18"/>
    </row>
    <row r="120" spans="1:9" ht="13.2" thickBot="1">
      <c r="A120" s="7" t="s">
        <v>27</v>
      </c>
      <c r="B120" s="7" t="s">
        <v>27</v>
      </c>
      <c r="C120" s="7" t="s">
        <v>27</v>
      </c>
      <c r="D120" s="8" t="s">
        <v>27</v>
      </c>
      <c r="E120" s="19" t="s">
        <v>27</v>
      </c>
      <c r="F120" s="6" t="s">
        <v>27</v>
      </c>
      <c r="G120" s="9" t="s">
        <v>27</v>
      </c>
      <c r="I120" s="18"/>
    </row>
    <row r="121" spans="1:9" ht="13.2" thickBot="1">
      <c r="A121" s="7" t="s">
        <v>27</v>
      </c>
      <c r="B121" s="7" t="s">
        <v>27</v>
      </c>
      <c r="C121" s="7" t="s">
        <v>27</v>
      </c>
      <c r="D121" s="8" t="s">
        <v>27</v>
      </c>
      <c r="E121" s="19" t="s">
        <v>27</v>
      </c>
      <c r="F121" s="6" t="s">
        <v>27</v>
      </c>
      <c r="G121" s="9" t="s">
        <v>27</v>
      </c>
      <c r="I121" s="18"/>
    </row>
    <row r="122" spans="1:9" ht="13.2" thickBot="1">
      <c r="A122" s="7" t="s">
        <v>27</v>
      </c>
      <c r="B122" s="7" t="s">
        <v>27</v>
      </c>
      <c r="C122" s="7" t="s">
        <v>27</v>
      </c>
      <c r="D122" s="8" t="s">
        <v>27</v>
      </c>
      <c r="E122" s="19" t="s">
        <v>27</v>
      </c>
      <c r="F122" s="6" t="s">
        <v>27</v>
      </c>
      <c r="G122" s="9" t="s">
        <v>27</v>
      </c>
      <c r="I122" s="18"/>
    </row>
    <row r="123" spans="1:9" ht="13.2" thickBot="1">
      <c r="A123" s="7" t="s">
        <v>27</v>
      </c>
      <c r="B123" s="7" t="s">
        <v>27</v>
      </c>
      <c r="C123" s="7" t="s">
        <v>27</v>
      </c>
      <c r="D123" s="8" t="s">
        <v>27</v>
      </c>
      <c r="E123" s="19" t="s">
        <v>27</v>
      </c>
      <c r="F123" s="6" t="s">
        <v>27</v>
      </c>
      <c r="G123" s="9" t="s">
        <v>27</v>
      </c>
      <c r="I123" s="18"/>
    </row>
    <row r="124" spans="1:9" ht="13.2" thickBot="1">
      <c r="A124" s="7" t="s">
        <v>27</v>
      </c>
      <c r="B124" s="7" t="s">
        <v>27</v>
      </c>
      <c r="C124" s="7" t="s">
        <v>27</v>
      </c>
      <c r="D124" s="8" t="s">
        <v>27</v>
      </c>
      <c r="E124" s="19" t="s">
        <v>27</v>
      </c>
      <c r="F124" s="6" t="s">
        <v>27</v>
      </c>
      <c r="G124" s="9" t="s">
        <v>27</v>
      </c>
      <c r="I124" s="18"/>
    </row>
    <row r="125" spans="1:9" ht="13.2" thickBot="1">
      <c r="A125" s="7" t="s">
        <v>27</v>
      </c>
      <c r="B125" s="7" t="s">
        <v>27</v>
      </c>
      <c r="C125" s="7" t="s">
        <v>27</v>
      </c>
      <c r="D125" s="8" t="s">
        <v>27</v>
      </c>
      <c r="E125" s="19" t="s">
        <v>27</v>
      </c>
      <c r="F125" s="6" t="s">
        <v>27</v>
      </c>
      <c r="G125" s="9" t="s">
        <v>27</v>
      </c>
      <c r="I125" s="18"/>
    </row>
    <row r="126" spans="1:9" ht="13.2" thickBot="1">
      <c r="A126" s="7" t="s">
        <v>27</v>
      </c>
      <c r="B126" s="7" t="s">
        <v>27</v>
      </c>
      <c r="C126" s="7" t="s">
        <v>27</v>
      </c>
      <c r="D126" s="8" t="s">
        <v>27</v>
      </c>
      <c r="E126" s="19" t="s">
        <v>27</v>
      </c>
      <c r="F126" s="6" t="s">
        <v>27</v>
      </c>
      <c r="G126" s="9" t="s">
        <v>27</v>
      </c>
      <c r="I126" s="18"/>
    </row>
    <row r="127" spans="1:9" ht="13.2" thickBot="1">
      <c r="A127" s="7" t="s">
        <v>27</v>
      </c>
      <c r="B127" s="7" t="s">
        <v>27</v>
      </c>
      <c r="C127" s="7" t="s">
        <v>27</v>
      </c>
      <c r="D127" s="8" t="s">
        <v>27</v>
      </c>
      <c r="E127" s="19" t="s">
        <v>27</v>
      </c>
      <c r="F127" s="6" t="s">
        <v>27</v>
      </c>
      <c r="G127" s="9" t="s">
        <v>27</v>
      </c>
      <c r="I127" s="18"/>
    </row>
    <row r="128" spans="1:9" ht="13.2" thickBot="1">
      <c r="A128" s="7" t="s">
        <v>27</v>
      </c>
      <c r="B128" s="7" t="s">
        <v>27</v>
      </c>
      <c r="C128" s="7" t="s">
        <v>27</v>
      </c>
      <c r="D128" s="8" t="s">
        <v>27</v>
      </c>
      <c r="E128" s="19" t="s">
        <v>27</v>
      </c>
      <c r="F128" s="6" t="s">
        <v>27</v>
      </c>
      <c r="G128" s="9" t="s">
        <v>27</v>
      </c>
      <c r="I128" s="18"/>
    </row>
    <row r="129" spans="1:9" ht="13.2" thickBot="1">
      <c r="A129" s="7" t="s">
        <v>27</v>
      </c>
      <c r="B129" s="7" t="s">
        <v>27</v>
      </c>
      <c r="C129" s="7" t="s">
        <v>27</v>
      </c>
      <c r="D129" s="8" t="s">
        <v>27</v>
      </c>
      <c r="E129" s="19" t="s">
        <v>27</v>
      </c>
      <c r="F129" s="6" t="s">
        <v>27</v>
      </c>
      <c r="G129" s="9" t="s">
        <v>27</v>
      </c>
      <c r="I129" s="18"/>
    </row>
    <row r="130" spans="1:9" ht="13.2" thickBot="1">
      <c r="A130" s="7" t="s">
        <v>27</v>
      </c>
      <c r="B130" s="7" t="s">
        <v>27</v>
      </c>
      <c r="C130" s="7" t="s">
        <v>27</v>
      </c>
      <c r="D130" s="8" t="s">
        <v>27</v>
      </c>
      <c r="E130" s="19" t="s">
        <v>27</v>
      </c>
      <c r="F130" s="6" t="s">
        <v>27</v>
      </c>
      <c r="G130" s="9" t="s">
        <v>27</v>
      </c>
      <c r="I130" s="18"/>
    </row>
    <row r="131" spans="1:9" ht="13.2" thickBot="1">
      <c r="A131" s="7" t="s">
        <v>27</v>
      </c>
      <c r="B131" s="7" t="s">
        <v>27</v>
      </c>
      <c r="C131" s="7" t="s">
        <v>27</v>
      </c>
      <c r="D131" s="8" t="s">
        <v>27</v>
      </c>
      <c r="E131" s="19" t="s">
        <v>27</v>
      </c>
      <c r="F131" s="6" t="s">
        <v>27</v>
      </c>
      <c r="G131" s="9" t="s">
        <v>27</v>
      </c>
      <c r="I131" s="18"/>
    </row>
    <row r="132" spans="1:9" ht="13.2" thickBot="1">
      <c r="A132" s="7" t="s">
        <v>27</v>
      </c>
      <c r="B132" s="7" t="s">
        <v>27</v>
      </c>
      <c r="C132" s="7" t="s">
        <v>27</v>
      </c>
      <c r="D132" s="8" t="s">
        <v>27</v>
      </c>
      <c r="E132" s="19" t="s">
        <v>27</v>
      </c>
      <c r="F132" s="6" t="s">
        <v>27</v>
      </c>
      <c r="G132" s="9" t="s">
        <v>27</v>
      </c>
      <c r="I132" s="18"/>
    </row>
    <row r="133" spans="1:9" ht="13.2" thickBot="1">
      <c r="A133" s="7" t="s">
        <v>27</v>
      </c>
      <c r="B133" s="7" t="s">
        <v>27</v>
      </c>
      <c r="C133" s="7" t="s">
        <v>27</v>
      </c>
      <c r="D133" s="8" t="s">
        <v>27</v>
      </c>
      <c r="E133" s="19" t="s">
        <v>27</v>
      </c>
      <c r="F133" s="6" t="s">
        <v>27</v>
      </c>
      <c r="G133" s="9" t="s">
        <v>27</v>
      </c>
      <c r="I133" s="18"/>
    </row>
    <row r="134" spans="1:9" ht="13.2" thickBot="1">
      <c r="A134" s="7" t="s">
        <v>27</v>
      </c>
      <c r="B134" s="7" t="s">
        <v>27</v>
      </c>
      <c r="C134" s="7" t="s">
        <v>27</v>
      </c>
      <c r="D134" s="8" t="s">
        <v>27</v>
      </c>
      <c r="E134" s="19" t="s">
        <v>27</v>
      </c>
      <c r="F134" s="6" t="s">
        <v>27</v>
      </c>
      <c r="G134" s="9" t="s">
        <v>27</v>
      </c>
      <c r="I134" s="18"/>
    </row>
    <row r="135" spans="1:9" ht="13.2" thickBot="1">
      <c r="A135" s="7" t="s">
        <v>27</v>
      </c>
      <c r="B135" s="7" t="s">
        <v>27</v>
      </c>
      <c r="C135" s="7" t="s">
        <v>27</v>
      </c>
      <c r="D135" s="8" t="s">
        <v>27</v>
      </c>
      <c r="E135" s="19" t="s">
        <v>27</v>
      </c>
      <c r="F135" s="6" t="s">
        <v>27</v>
      </c>
      <c r="G135" s="9" t="s">
        <v>27</v>
      </c>
      <c r="I135" s="18"/>
    </row>
    <row r="136" spans="1:9" ht="13.2" thickBot="1">
      <c r="A136" s="7" t="s">
        <v>27</v>
      </c>
      <c r="B136" s="7" t="s">
        <v>27</v>
      </c>
      <c r="C136" s="7" t="s">
        <v>27</v>
      </c>
      <c r="D136" s="8" t="s">
        <v>27</v>
      </c>
      <c r="E136" s="19" t="s">
        <v>27</v>
      </c>
      <c r="F136" s="6" t="s">
        <v>27</v>
      </c>
      <c r="G136" s="9" t="s">
        <v>27</v>
      </c>
      <c r="I136" s="18"/>
    </row>
    <row r="137" spans="1:9" ht="13.2" thickBot="1">
      <c r="A137" s="7" t="s">
        <v>27</v>
      </c>
      <c r="B137" s="7" t="s">
        <v>27</v>
      </c>
      <c r="C137" s="7" t="s">
        <v>27</v>
      </c>
      <c r="D137" s="8" t="s">
        <v>27</v>
      </c>
      <c r="E137" s="19" t="s">
        <v>27</v>
      </c>
      <c r="F137" s="6" t="s">
        <v>27</v>
      </c>
      <c r="G137" s="9" t="s">
        <v>27</v>
      </c>
      <c r="I137" s="18"/>
    </row>
    <row r="138" spans="1:9" ht="13.2" thickBot="1">
      <c r="A138" s="7" t="s">
        <v>27</v>
      </c>
      <c r="B138" s="7" t="s">
        <v>27</v>
      </c>
      <c r="C138" s="7" t="s">
        <v>27</v>
      </c>
      <c r="D138" s="8" t="s">
        <v>27</v>
      </c>
      <c r="E138" s="19" t="s">
        <v>27</v>
      </c>
      <c r="F138" s="6" t="s">
        <v>27</v>
      </c>
      <c r="G138" s="9" t="s">
        <v>27</v>
      </c>
      <c r="I138" s="18"/>
    </row>
    <row r="139" spans="1:9" ht="13.2" thickBot="1">
      <c r="A139" s="7" t="s">
        <v>27</v>
      </c>
      <c r="B139" s="7" t="s">
        <v>27</v>
      </c>
      <c r="C139" s="7" t="s">
        <v>27</v>
      </c>
      <c r="D139" s="8" t="s">
        <v>27</v>
      </c>
      <c r="E139" s="19" t="s">
        <v>27</v>
      </c>
      <c r="F139" s="6" t="s">
        <v>27</v>
      </c>
      <c r="G139" s="9" t="s">
        <v>27</v>
      </c>
      <c r="I139" s="18"/>
    </row>
    <row r="140" spans="1:9" ht="13.2" thickBot="1">
      <c r="A140" s="7" t="s">
        <v>27</v>
      </c>
      <c r="B140" s="7" t="s">
        <v>27</v>
      </c>
      <c r="C140" s="7" t="s">
        <v>27</v>
      </c>
      <c r="D140" s="8" t="s">
        <v>27</v>
      </c>
      <c r="E140" s="19" t="s">
        <v>27</v>
      </c>
      <c r="F140" s="6" t="s">
        <v>27</v>
      </c>
      <c r="G140" s="9" t="s">
        <v>27</v>
      </c>
      <c r="I140" s="18"/>
    </row>
    <row r="141" spans="1:9" ht="13.2" thickBot="1">
      <c r="A141" s="7" t="s">
        <v>27</v>
      </c>
      <c r="B141" s="7" t="s">
        <v>27</v>
      </c>
      <c r="C141" s="7" t="s">
        <v>27</v>
      </c>
      <c r="D141" s="8" t="s">
        <v>27</v>
      </c>
      <c r="E141" s="19" t="s">
        <v>27</v>
      </c>
      <c r="F141" s="6" t="s">
        <v>27</v>
      </c>
      <c r="G141" s="9" t="s">
        <v>27</v>
      </c>
      <c r="I141" s="18"/>
    </row>
    <row r="142" spans="1:9" ht="13.2" thickBot="1">
      <c r="A142" s="7" t="s">
        <v>27</v>
      </c>
      <c r="B142" s="7" t="s">
        <v>27</v>
      </c>
      <c r="C142" s="7" t="s">
        <v>27</v>
      </c>
      <c r="D142" s="8" t="s">
        <v>27</v>
      </c>
      <c r="E142" s="19" t="s">
        <v>27</v>
      </c>
      <c r="F142" s="6" t="s">
        <v>27</v>
      </c>
      <c r="G142" s="9" t="s">
        <v>27</v>
      </c>
      <c r="I142" s="18"/>
    </row>
    <row r="143" spans="1:9" ht="13.2" thickBot="1">
      <c r="A143" s="7" t="s">
        <v>27</v>
      </c>
      <c r="B143" s="7" t="s">
        <v>27</v>
      </c>
      <c r="C143" s="7" t="s">
        <v>27</v>
      </c>
      <c r="D143" s="8" t="s">
        <v>27</v>
      </c>
      <c r="E143" s="19" t="s">
        <v>27</v>
      </c>
      <c r="F143" s="6" t="s">
        <v>27</v>
      </c>
      <c r="G143" s="9" t="s">
        <v>27</v>
      </c>
      <c r="I143" s="18"/>
    </row>
    <row r="144" spans="1:9" ht="13.2" thickBot="1">
      <c r="A144" s="7" t="s">
        <v>27</v>
      </c>
      <c r="B144" s="7" t="s">
        <v>27</v>
      </c>
      <c r="C144" s="7" t="s">
        <v>27</v>
      </c>
      <c r="D144" s="8" t="s">
        <v>27</v>
      </c>
      <c r="E144" s="19" t="s">
        <v>27</v>
      </c>
      <c r="F144" s="6" t="s">
        <v>27</v>
      </c>
      <c r="G144" s="9" t="s">
        <v>27</v>
      </c>
      <c r="I144" s="18"/>
    </row>
    <row r="145" spans="1:9" ht="13.2" thickBot="1">
      <c r="A145" s="7" t="s">
        <v>27</v>
      </c>
      <c r="B145" s="7" t="s">
        <v>27</v>
      </c>
      <c r="C145" s="7" t="s">
        <v>27</v>
      </c>
      <c r="D145" s="8" t="s">
        <v>27</v>
      </c>
      <c r="E145" s="19" t="s">
        <v>27</v>
      </c>
      <c r="F145" s="6" t="s">
        <v>27</v>
      </c>
      <c r="G145" s="9" t="s">
        <v>27</v>
      </c>
      <c r="I145" s="18"/>
    </row>
    <row r="146" spans="1:9" ht="13.2" thickBot="1">
      <c r="A146" s="7" t="s">
        <v>27</v>
      </c>
      <c r="B146" s="7" t="s">
        <v>27</v>
      </c>
      <c r="C146" s="7" t="s">
        <v>27</v>
      </c>
      <c r="D146" s="8" t="s">
        <v>27</v>
      </c>
      <c r="E146" s="19" t="s">
        <v>27</v>
      </c>
      <c r="F146" s="6" t="s">
        <v>27</v>
      </c>
      <c r="G146" s="9" t="s">
        <v>27</v>
      </c>
      <c r="I146" s="18"/>
    </row>
    <row r="147" spans="1:9" ht="13.2" thickBot="1">
      <c r="A147" s="7" t="s">
        <v>27</v>
      </c>
      <c r="B147" s="7" t="s">
        <v>27</v>
      </c>
      <c r="C147" s="7" t="s">
        <v>27</v>
      </c>
      <c r="D147" s="8" t="s">
        <v>27</v>
      </c>
      <c r="E147" s="19" t="s">
        <v>27</v>
      </c>
      <c r="F147" s="6" t="s">
        <v>27</v>
      </c>
      <c r="G147" s="9" t="s">
        <v>27</v>
      </c>
      <c r="I147" s="18"/>
    </row>
    <row r="148" spans="1:9" ht="13.2" thickBot="1">
      <c r="A148" s="7" t="s">
        <v>27</v>
      </c>
      <c r="B148" s="7" t="s">
        <v>27</v>
      </c>
      <c r="C148" s="7" t="s">
        <v>27</v>
      </c>
      <c r="D148" s="8" t="s">
        <v>27</v>
      </c>
      <c r="E148" s="19" t="s">
        <v>27</v>
      </c>
      <c r="F148" s="6" t="s">
        <v>27</v>
      </c>
      <c r="G148" s="9" t="s">
        <v>27</v>
      </c>
      <c r="I148" s="18"/>
    </row>
    <row r="149" spans="1:9" ht="13.2" thickBot="1">
      <c r="A149" s="7" t="s">
        <v>27</v>
      </c>
      <c r="B149" s="7" t="s">
        <v>27</v>
      </c>
      <c r="C149" s="7" t="s">
        <v>27</v>
      </c>
      <c r="D149" s="8" t="s">
        <v>27</v>
      </c>
      <c r="E149" s="19" t="s">
        <v>27</v>
      </c>
      <c r="F149" s="6" t="s">
        <v>27</v>
      </c>
      <c r="G149" s="9" t="s">
        <v>27</v>
      </c>
      <c r="I149" s="18"/>
    </row>
    <row r="150" spans="1:9" ht="13.2" thickBot="1">
      <c r="A150" s="7" t="s">
        <v>27</v>
      </c>
      <c r="B150" s="7" t="s">
        <v>27</v>
      </c>
      <c r="C150" s="7" t="s">
        <v>27</v>
      </c>
      <c r="D150" s="8" t="s">
        <v>27</v>
      </c>
      <c r="E150" s="19" t="s">
        <v>27</v>
      </c>
      <c r="F150" s="6" t="s">
        <v>27</v>
      </c>
      <c r="G150" s="9" t="s">
        <v>27</v>
      </c>
      <c r="I150" s="18"/>
    </row>
    <row r="151" spans="1:9" ht="13.2" thickBot="1">
      <c r="A151" s="7" t="s">
        <v>27</v>
      </c>
      <c r="B151" s="7" t="s">
        <v>27</v>
      </c>
      <c r="C151" s="7" t="s">
        <v>27</v>
      </c>
      <c r="D151" s="8" t="s">
        <v>27</v>
      </c>
      <c r="E151" s="19" t="s">
        <v>27</v>
      </c>
      <c r="F151" s="6" t="s">
        <v>27</v>
      </c>
      <c r="G151" s="9" t="s">
        <v>27</v>
      </c>
      <c r="I151" s="18"/>
    </row>
    <row r="152" spans="1:9" ht="13.2" thickBot="1">
      <c r="A152" s="7" t="s">
        <v>27</v>
      </c>
      <c r="B152" s="7" t="s">
        <v>27</v>
      </c>
      <c r="C152" s="7" t="s">
        <v>27</v>
      </c>
      <c r="D152" s="8" t="s">
        <v>27</v>
      </c>
      <c r="E152" s="19" t="s">
        <v>27</v>
      </c>
      <c r="F152" s="6" t="s">
        <v>27</v>
      </c>
      <c r="G152" s="9" t="s">
        <v>27</v>
      </c>
      <c r="I152" s="18"/>
    </row>
    <row r="153" spans="1:9" ht="13.2" thickBot="1">
      <c r="A153" s="7" t="s">
        <v>27</v>
      </c>
      <c r="B153" s="7" t="s">
        <v>27</v>
      </c>
      <c r="C153" s="7" t="s">
        <v>27</v>
      </c>
      <c r="D153" s="8" t="s">
        <v>27</v>
      </c>
      <c r="E153" s="19" t="s">
        <v>27</v>
      </c>
      <c r="F153" s="6" t="s">
        <v>27</v>
      </c>
      <c r="G153" s="9" t="s">
        <v>27</v>
      </c>
      <c r="I153" s="18"/>
    </row>
    <row r="154" spans="1:9" ht="13.2" thickBot="1">
      <c r="A154" s="7" t="s">
        <v>27</v>
      </c>
      <c r="B154" s="7" t="s">
        <v>27</v>
      </c>
      <c r="C154" s="7" t="s">
        <v>27</v>
      </c>
      <c r="D154" s="8" t="s">
        <v>27</v>
      </c>
      <c r="E154" s="19" t="s">
        <v>27</v>
      </c>
      <c r="F154" s="6" t="s">
        <v>27</v>
      </c>
      <c r="G154" s="9" t="s">
        <v>27</v>
      </c>
      <c r="I154" s="18"/>
    </row>
    <row r="155" spans="1:9" ht="13.2" thickBot="1">
      <c r="A155" s="7" t="s">
        <v>27</v>
      </c>
      <c r="B155" s="7" t="s">
        <v>27</v>
      </c>
      <c r="C155" s="7" t="s">
        <v>27</v>
      </c>
      <c r="D155" s="8" t="s">
        <v>27</v>
      </c>
      <c r="E155" s="19" t="s">
        <v>27</v>
      </c>
      <c r="F155" s="6" t="s">
        <v>27</v>
      </c>
      <c r="G155" s="9" t="s">
        <v>27</v>
      </c>
      <c r="I155" s="18"/>
    </row>
    <row r="156" spans="1:9" ht="13.2" thickBot="1">
      <c r="A156" s="7" t="s">
        <v>27</v>
      </c>
      <c r="B156" s="7" t="s">
        <v>27</v>
      </c>
      <c r="C156" s="7" t="s">
        <v>27</v>
      </c>
      <c r="D156" s="8" t="s">
        <v>27</v>
      </c>
      <c r="E156" s="19" t="s">
        <v>27</v>
      </c>
      <c r="F156" s="6" t="s">
        <v>27</v>
      </c>
      <c r="G156" s="9" t="s">
        <v>27</v>
      </c>
      <c r="I156" s="18"/>
    </row>
    <row r="157" spans="1:9" ht="13.2" thickBot="1">
      <c r="A157" s="7" t="s">
        <v>27</v>
      </c>
      <c r="B157" s="7" t="s">
        <v>27</v>
      </c>
      <c r="C157" s="7" t="s">
        <v>27</v>
      </c>
      <c r="D157" s="8" t="s">
        <v>27</v>
      </c>
      <c r="E157" s="19" t="s">
        <v>27</v>
      </c>
      <c r="F157" s="6" t="s">
        <v>27</v>
      </c>
      <c r="G157" s="9" t="s">
        <v>27</v>
      </c>
      <c r="I157" s="18"/>
    </row>
    <row r="158" spans="1:9" ht="13.2" thickBot="1">
      <c r="A158" s="7" t="s">
        <v>27</v>
      </c>
      <c r="B158" s="7" t="s">
        <v>27</v>
      </c>
      <c r="C158" s="7" t="s">
        <v>27</v>
      </c>
      <c r="D158" s="8" t="s">
        <v>27</v>
      </c>
      <c r="E158" s="19" t="s">
        <v>27</v>
      </c>
      <c r="F158" s="6" t="s">
        <v>27</v>
      </c>
      <c r="G158" s="9" t="s">
        <v>27</v>
      </c>
      <c r="I158" s="18"/>
    </row>
    <row r="159" spans="1:9" ht="13.2" thickBot="1">
      <c r="A159" s="7" t="s">
        <v>27</v>
      </c>
      <c r="B159" s="7" t="s">
        <v>27</v>
      </c>
      <c r="C159" s="7" t="s">
        <v>27</v>
      </c>
      <c r="D159" s="8" t="s">
        <v>27</v>
      </c>
      <c r="E159" s="19" t="s">
        <v>27</v>
      </c>
      <c r="F159" s="6" t="s">
        <v>27</v>
      </c>
      <c r="G159" s="9" t="s">
        <v>27</v>
      </c>
      <c r="I159" s="18"/>
    </row>
    <row r="160" spans="1:9" ht="13.2" thickBot="1">
      <c r="A160" s="7" t="s">
        <v>27</v>
      </c>
      <c r="B160" s="7" t="s">
        <v>27</v>
      </c>
      <c r="C160" s="7" t="s">
        <v>27</v>
      </c>
      <c r="D160" s="8" t="s">
        <v>27</v>
      </c>
      <c r="E160" s="19" t="s">
        <v>27</v>
      </c>
      <c r="F160" s="6" t="s">
        <v>27</v>
      </c>
      <c r="G160" s="9" t="s">
        <v>27</v>
      </c>
      <c r="I160" s="18"/>
    </row>
    <row r="161" spans="1:9" ht="13.2" thickBot="1">
      <c r="A161" s="7" t="s">
        <v>27</v>
      </c>
      <c r="B161" s="7" t="s">
        <v>27</v>
      </c>
      <c r="C161" s="7" t="s">
        <v>27</v>
      </c>
      <c r="D161" s="8" t="s">
        <v>27</v>
      </c>
      <c r="E161" s="19" t="s">
        <v>27</v>
      </c>
      <c r="F161" s="6" t="s">
        <v>27</v>
      </c>
      <c r="G161" s="9" t="s">
        <v>27</v>
      </c>
      <c r="I161" s="18"/>
    </row>
    <row r="162" spans="1:9" ht="13.2" thickBot="1">
      <c r="A162" s="7" t="s">
        <v>27</v>
      </c>
      <c r="B162" s="7" t="s">
        <v>27</v>
      </c>
      <c r="C162" s="7" t="s">
        <v>27</v>
      </c>
      <c r="D162" s="8" t="s">
        <v>27</v>
      </c>
      <c r="E162" s="19" t="s">
        <v>27</v>
      </c>
      <c r="F162" s="6" t="s">
        <v>27</v>
      </c>
      <c r="G162" s="9" t="s">
        <v>27</v>
      </c>
      <c r="I162" s="18"/>
    </row>
    <row r="163" spans="1:9" ht="13.2" thickBot="1">
      <c r="A163" s="7" t="s">
        <v>27</v>
      </c>
      <c r="B163" s="7" t="s">
        <v>27</v>
      </c>
      <c r="C163" s="7" t="s">
        <v>27</v>
      </c>
      <c r="D163" s="8" t="s">
        <v>27</v>
      </c>
      <c r="E163" s="19" t="s">
        <v>27</v>
      </c>
      <c r="F163" s="6" t="s">
        <v>27</v>
      </c>
      <c r="G163" s="9" t="s">
        <v>27</v>
      </c>
      <c r="I163" s="18"/>
    </row>
    <row r="164" spans="1:9" ht="13.2" thickBot="1">
      <c r="A164" s="7" t="s">
        <v>27</v>
      </c>
      <c r="B164" s="7" t="s">
        <v>27</v>
      </c>
      <c r="C164" s="7" t="s">
        <v>27</v>
      </c>
      <c r="D164" s="8" t="s">
        <v>27</v>
      </c>
      <c r="E164" s="19" t="s">
        <v>27</v>
      </c>
      <c r="F164" s="6" t="s">
        <v>27</v>
      </c>
      <c r="G164" s="9" t="s">
        <v>27</v>
      </c>
      <c r="I164" s="18"/>
    </row>
    <row r="165" spans="1:9" ht="13.2" thickBot="1">
      <c r="A165" s="7" t="s">
        <v>27</v>
      </c>
      <c r="B165" s="7" t="s">
        <v>27</v>
      </c>
      <c r="C165" s="7" t="s">
        <v>27</v>
      </c>
      <c r="D165" s="8" t="s">
        <v>27</v>
      </c>
      <c r="E165" s="19" t="s">
        <v>27</v>
      </c>
      <c r="F165" s="6" t="s">
        <v>27</v>
      </c>
      <c r="G165" s="9" t="s">
        <v>27</v>
      </c>
      <c r="I165" s="18"/>
    </row>
    <row r="166" spans="1:9" ht="13.2" thickBot="1">
      <c r="A166" s="7" t="s">
        <v>27</v>
      </c>
      <c r="B166" s="7" t="s">
        <v>27</v>
      </c>
      <c r="C166" s="7" t="s">
        <v>27</v>
      </c>
      <c r="D166" s="8" t="s">
        <v>27</v>
      </c>
      <c r="E166" s="19" t="s">
        <v>27</v>
      </c>
      <c r="F166" s="6" t="s">
        <v>27</v>
      </c>
      <c r="G166" s="9" t="s">
        <v>27</v>
      </c>
      <c r="I166" s="18"/>
    </row>
    <row r="167" spans="1:9" ht="13.2" thickBot="1">
      <c r="A167" s="7" t="s">
        <v>27</v>
      </c>
      <c r="B167" s="7" t="s">
        <v>27</v>
      </c>
      <c r="C167" s="7" t="s">
        <v>27</v>
      </c>
      <c r="D167" s="8" t="s">
        <v>27</v>
      </c>
      <c r="E167" s="19" t="s">
        <v>27</v>
      </c>
      <c r="F167" s="6" t="s">
        <v>27</v>
      </c>
      <c r="G167" s="9" t="s">
        <v>27</v>
      </c>
      <c r="I167" s="18"/>
    </row>
    <row r="168" spans="1:9" ht="13.2" thickBot="1">
      <c r="A168" s="7" t="s">
        <v>27</v>
      </c>
      <c r="B168" s="7" t="s">
        <v>27</v>
      </c>
      <c r="C168" s="7" t="s">
        <v>27</v>
      </c>
      <c r="D168" s="8" t="s">
        <v>27</v>
      </c>
      <c r="E168" s="19" t="s">
        <v>27</v>
      </c>
      <c r="F168" s="6" t="s">
        <v>27</v>
      </c>
      <c r="G168" s="9" t="s">
        <v>27</v>
      </c>
      <c r="I168" s="18"/>
    </row>
    <row r="169" spans="1:9" ht="13.2" thickBot="1">
      <c r="A169" s="7" t="s">
        <v>27</v>
      </c>
      <c r="B169" s="7" t="s">
        <v>27</v>
      </c>
      <c r="C169" s="7" t="s">
        <v>27</v>
      </c>
      <c r="D169" s="8" t="s">
        <v>27</v>
      </c>
      <c r="E169" s="19" t="s">
        <v>27</v>
      </c>
      <c r="F169" s="6" t="s">
        <v>27</v>
      </c>
      <c r="G169" s="9" t="s">
        <v>27</v>
      </c>
      <c r="I169" s="18"/>
    </row>
    <row r="170" spans="1:9" ht="13.2" thickBot="1">
      <c r="A170" s="7" t="s">
        <v>27</v>
      </c>
      <c r="B170" s="7" t="s">
        <v>27</v>
      </c>
      <c r="C170" s="7" t="s">
        <v>27</v>
      </c>
      <c r="D170" s="8" t="s">
        <v>27</v>
      </c>
      <c r="E170" s="19" t="s">
        <v>27</v>
      </c>
      <c r="F170" s="6" t="s">
        <v>27</v>
      </c>
      <c r="G170" s="9" t="s">
        <v>27</v>
      </c>
      <c r="I170" s="18"/>
    </row>
    <row r="171" spans="1:9" ht="13.2" thickBot="1">
      <c r="A171" s="7" t="s">
        <v>27</v>
      </c>
      <c r="B171" s="7" t="s">
        <v>27</v>
      </c>
      <c r="C171" s="7" t="s">
        <v>27</v>
      </c>
      <c r="D171" s="8" t="s">
        <v>27</v>
      </c>
      <c r="E171" s="19" t="s">
        <v>27</v>
      </c>
      <c r="F171" s="6" t="s">
        <v>27</v>
      </c>
      <c r="G171" s="9" t="s">
        <v>27</v>
      </c>
      <c r="I171" s="18"/>
    </row>
    <row r="172" spans="1:9" ht="13.2" thickBot="1">
      <c r="A172" s="7" t="s">
        <v>27</v>
      </c>
      <c r="B172" s="7" t="s">
        <v>27</v>
      </c>
      <c r="C172" s="7" t="s">
        <v>27</v>
      </c>
      <c r="D172" s="8" t="s">
        <v>27</v>
      </c>
      <c r="E172" s="19" t="s">
        <v>27</v>
      </c>
      <c r="F172" s="6" t="s">
        <v>27</v>
      </c>
      <c r="G172" s="9" t="s">
        <v>27</v>
      </c>
      <c r="I172" s="18"/>
    </row>
    <row r="173" spans="1:9" ht="13.2" thickBot="1">
      <c r="A173" s="7" t="s">
        <v>27</v>
      </c>
      <c r="B173" s="7" t="s">
        <v>27</v>
      </c>
      <c r="C173" s="7" t="s">
        <v>27</v>
      </c>
      <c r="D173" s="8" t="s">
        <v>27</v>
      </c>
      <c r="E173" s="19" t="s">
        <v>27</v>
      </c>
      <c r="F173" s="6" t="s">
        <v>27</v>
      </c>
      <c r="G173" s="9" t="s">
        <v>27</v>
      </c>
      <c r="I173" s="18"/>
    </row>
    <row r="174" spans="1:9" ht="13.2" thickBot="1">
      <c r="A174" s="7" t="s">
        <v>27</v>
      </c>
      <c r="B174" s="7" t="s">
        <v>27</v>
      </c>
      <c r="C174" s="7" t="s">
        <v>27</v>
      </c>
      <c r="D174" s="8" t="s">
        <v>27</v>
      </c>
      <c r="E174" s="19" t="s">
        <v>27</v>
      </c>
      <c r="F174" s="6" t="s">
        <v>27</v>
      </c>
      <c r="G174" s="9" t="s">
        <v>27</v>
      </c>
      <c r="I174" s="18"/>
    </row>
    <row r="175" spans="1:9" ht="13.2" thickBot="1">
      <c r="A175" s="7" t="s">
        <v>27</v>
      </c>
      <c r="B175" s="7" t="s">
        <v>27</v>
      </c>
      <c r="C175" s="7" t="s">
        <v>27</v>
      </c>
      <c r="D175" s="8" t="s">
        <v>27</v>
      </c>
      <c r="E175" s="19" t="s">
        <v>27</v>
      </c>
      <c r="F175" s="6" t="s">
        <v>27</v>
      </c>
      <c r="G175" s="9" t="s">
        <v>27</v>
      </c>
      <c r="I175" s="18"/>
    </row>
    <row r="176" spans="1:9" ht="13.2" thickBot="1">
      <c r="A176" s="7" t="s">
        <v>27</v>
      </c>
      <c r="B176" s="7" t="s">
        <v>27</v>
      </c>
      <c r="C176" s="7" t="s">
        <v>27</v>
      </c>
      <c r="D176" s="8" t="s">
        <v>27</v>
      </c>
      <c r="E176" s="19" t="s">
        <v>27</v>
      </c>
      <c r="F176" s="6" t="s">
        <v>27</v>
      </c>
      <c r="G176" s="9" t="s">
        <v>27</v>
      </c>
      <c r="I176" s="18"/>
    </row>
    <row r="177" spans="1:9" ht="13.2" thickBot="1">
      <c r="A177" s="7" t="s">
        <v>27</v>
      </c>
      <c r="B177" s="7" t="s">
        <v>27</v>
      </c>
      <c r="C177" s="7" t="s">
        <v>27</v>
      </c>
      <c r="D177" s="8" t="s">
        <v>27</v>
      </c>
      <c r="E177" s="19" t="s">
        <v>27</v>
      </c>
      <c r="F177" s="6" t="s">
        <v>27</v>
      </c>
      <c r="G177" s="9" t="s">
        <v>27</v>
      </c>
      <c r="I177" s="18"/>
    </row>
    <row r="178" spans="1:9" ht="13.2" thickBot="1">
      <c r="A178" s="7" t="s">
        <v>27</v>
      </c>
      <c r="B178" s="7" t="s">
        <v>27</v>
      </c>
      <c r="C178" s="7" t="s">
        <v>27</v>
      </c>
      <c r="D178" s="8" t="s">
        <v>27</v>
      </c>
      <c r="E178" s="19" t="s">
        <v>27</v>
      </c>
      <c r="F178" s="6" t="s">
        <v>27</v>
      </c>
      <c r="G178" s="9" t="s">
        <v>27</v>
      </c>
      <c r="I178" s="18"/>
    </row>
    <row r="179" spans="1:9" ht="13.2" thickBot="1">
      <c r="A179" s="7" t="s">
        <v>27</v>
      </c>
      <c r="B179" s="7" t="s">
        <v>27</v>
      </c>
      <c r="C179" s="7" t="s">
        <v>27</v>
      </c>
      <c r="D179" s="8" t="s">
        <v>27</v>
      </c>
      <c r="E179" s="19" t="s">
        <v>27</v>
      </c>
      <c r="F179" s="6" t="s">
        <v>27</v>
      </c>
      <c r="G179" s="9" t="s">
        <v>27</v>
      </c>
      <c r="I179" s="18"/>
    </row>
    <row r="180" spans="1:9" ht="13.2" thickBot="1">
      <c r="A180" s="7" t="s">
        <v>27</v>
      </c>
      <c r="B180" s="7" t="s">
        <v>27</v>
      </c>
      <c r="C180" s="7" t="s">
        <v>27</v>
      </c>
      <c r="D180" s="8" t="s">
        <v>27</v>
      </c>
      <c r="E180" s="19" t="s">
        <v>27</v>
      </c>
      <c r="F180" s="6" t="s">
        <v>27</v>
      </c>
      <c r="G180" s="9" t="s">
        <v>27</v>
      </c>
      <c r="I180" s="18"/>
    </row>
    <row r="181" spans="1:9" ht="13.2" thickBot="1">
      <c r="A181" s="7" t="s">
        <v>27</v>
      </c>
      <c r="B181" s="7" t="s">
        <v>27</v>
      </c>
      <c r="C181" s="7" t="s">
        <v>27</v>
      </c>
      <c r="D181" s="8" t="s">
        <v>27</v>
      </c>
      <c r="E181" s="19" t="s">
        <v>27</v>
      </c>
      <c r="F181" s="6" t="s">
        <v>27</v>
      </c>
      <c r="G181" s="9" t="s">
        <v>27</v>
      </c>
      <c r="I181" s="18"/>
    </row>
    <row r="182" spans="1:9" ht="13.2" thickBot="1">
      <c r="A182" s="7" t="s">
        <v>27</v>
      </c>
      <c r="B182" s="7" t="s">
        <v>27</v>
      </c>
      <c r="C182" s="7" t="s">
        <v>27</v>
      </c>
      <c r="D182" s="8" t="s">
        <v>27</v>
      </c>
      <c r="E182" s="19" t="s">
        <v>27</v>
      </c>
      <c r="F182" s="6" t="s">
        <v>27</v>
      </c>
      <c r="G182" s="9" t="s">
        <v>27</v>
      </c>
      <c r="I182" s="18"/>
    </row>
    <row r="183" spans="1:9" ht="13.2" thickBot="1">
      <c r="A183" s="7" t="s">
        <v>27</v>
      </c>
      <c r="B183" s="7" t="s">
        <v>27</v>
      </c>
      <c r="C183" s="7" t="s">
        <v>27</v>
      </c>
      <c r="D183" s="8" t="s">
        <v>27</v>
      </c>
      <c r="E183" s="19" t="s">
        <v>27</v>
      </c>
      <c r="F183" s="6" t="s">
        <v>27</v>
      </c>
      <c r="G183" s="9" t="s">
        <v>27</v>
      </c>
      <c r="I183" s="18"/>
    </row>
    <row r="184" spans="1:9" ht="13.2" thickBot="1">
      <c r="A184" s="7" t="s">
        <v>27</v>
      </c>
      <c r="B184" s="7" t="s">
        <v>27</v>
      </c>
      <c r="C184" s="7" t="s">
        <v>27</v>
      </c>
      <c r="D184" s="8" t="s">
        <v>27</v>
      </c>
      <c r="E184" s="19" t="s">
        <v>27</v>
      </c>
      <c r="F184" s="6" t="s">
        <v>27</v>
      </c>
      <c r="G184" s="9" t="s">
        <v>27</v>
      </c>
      <c r="I184" s="18"/>
    </row>
    <row r="185" spans="1:9" ht="13.2" thickBot="1">
      <c r="A185" s="7" t="s">
        <v>27</v>
      </c>
      <c r="B185" s="7" t="s">
        <v>27</v>
      </c>
      <c r="C185" s="7" t="s">
        <v>27</v>
      </c>
      <c r="D185" s="8" t="s">
        <v>27</v>
      </c>
      <c r="E185" s="19" t="s">
        <v>27</v>
      </c>
      <c r="F185" s="6" t="s">
        <v>27</v>
      </c>
      <c r="G185" s="9" t="s">
        <v>27</v>
      </c>
      <c r="I185" s="18"/>
    </row>
    <row r="186" spans="1:9" ht="13.2" thickBot="1">
      <c r="A186" s="7" t="s">
        <v>27</v>
      </c>
      <c r="B186" s="7" t="s">
        <v>27</v>
      </c>
      <c r="C186" s="7" t="s">
        <v>27</v>
      </c>
      <c r="D186" s="8" t="s">
        <v>27</v>
      </c>
      <c r="E186" s="19" t="s">
        <v>27</v>
      </c>
      <c r="F186" s="6" t="s">
        <v>27</v>
      </c>
      <c r="G186" s="9" t="s">
        <v>27</v>
      </c>
      <c r="I186" s="18"/>
    </row>
    <row r="187" spans="1:9" ht="13.2" thickBot="1">
      <c r="A187" s="7" t="s">
        <v>27</v>
      </c>
      <c r="B187" s="7" t="s">
        <v>27</v>
      </c>
      <c r="C187" s="7" t="s">
        <v>27</v>
      </c>
      <c r="D187" s="8" t="s">
        <v>27</v>
      </c>
      <c r="E187" s="19" t="s">
        <v>27</v>
      </c>
      <c r="F187" s="6" t="s">
        <v>27</v>
      </c>
      <c r="G187" s="9" t="s">
        <v>27</v>
      </c>
      <c r="I187" s="18"/>
    </row>
    <row r="188" spans="1:9" ht="13.2" thickBot="1">
      <c r="A188" s="7" t="s">
        <v>27</v>
      </c>
      <c r="B188" s="7" t="s">
        <v>27</v>
      </c>
      <c r="C188" s="7" t="s">
        <v>27</v>
      </c>
      <c r="D188" s="8" t="s">
        <v>27</v>
      </c>
      <c r="E188" s="19" t="s">
        <v>27</v>
      </c>
      <c r="F188" s="6" t="s">
        <v>27</v>
      </c>
      <c r="G188" s="9" t="s">
        <v>27</v>
      </c>
      <c r="I188" s="18"/>
    </row>
    <row r="189" spans="1:9" ht="13.2" thickBot="1">
      <c r="A189" s="7" t="s">
        <v>27</v>
      </c>
      <c r="B189" s="7" t="s">
        <v>27</v>
      </c>
      <c r="C189" s="7" t="s">
        <v>27</v>
      </c>
      <c r="D189" s="8" t="s">
        <v>27</v>
      </c>
      <c r="E189" s="19" t="s">
        <v>27</v>
      </c>
      <c r="F189" s="6" t="s">
        <v>27</v>
      </c>
      <c r="G189" s="9" t="s">
        <v>27</v>
      </c>
      <c r="I189" s="18"/>
    </row>
    <row r="190" spans="1:9" ht="13.2" thickBot="1">
      <c r="A190" s="7" t="s">
        <v>27</v>
      </c>
      <c r="B190" s="7" t="s">
        <v>27</v>
      </c>
      <c r="C190" s="7" t="s">
        <v>27</v>
      </c>
      <c r="D190" s="8" t="s">
        <v>27</v>
      </c>
      <c r="E190" s="19" t="s">
        <v>27</v>
      </c>
      <c r="F190" s="6" t="s">
        <v>27</v>
      </c>
      <c r="G190" s="9" t="s">
        <v>27</v>
      </c>
      <c r="I190" s="18"/>
    </row>
    <row r="191" spans="1:9" ht="13.2" thickBot="1">
      <c r="A191" s="7" t="s">
        <v>27</v>
      </c>
      <c r="B191" s="7" t="s">
        <v>27</v>
      </c>
      <c r="C191" s="7" t="s">
        <v>27</v>
      </c>
      <c r="D191" s="8" t="s">
        <v>27</v>
      </c>
      <c r="E191" s="19" t="s">
        <v>27</v>
      </c>
      <c r="F191" s="6" t="s">
        <v>27</v>
      </c>
      <c r="G191" s="9" t="s">
        <v>27</v>
      </c>
      <c r="I191" s="18"/>
    </row>
    <row r="192" spans="1:9" ht="13.2" thickBot="1">
      <c r="A192" s="7" t="s">
        <v>27</v>
      </c>
      <c r="B192" s="7" t="s">
        <v>27</v>
      </c>
      <c r="C192" s="7" t="s">
        <v>27</v>
      </c>
      <c r="D192" s="8" t="s">
        <v>27</v>
      </c>
      <c r="E192" s="19" t="s">
        <v>27</v>
      </c>
      <c r="F192" s="6" t="s">
        <v>27</v>
      </c>
      <c r="G192" s="9" t="s">
        <v>27</v>
      </c>
      <c r="I192" s="18"/>
    </row>
    <row r="193" spans="1:9" ht="13.2" thickBot="1">
      <c r="A193" s="7" t="s">
        <v>27</v>
      </c>
      <c r="B193" s="7" t="s">
        <v>27</v>
      </c>
      <c r="C193" s="7" t="s">
        <v>27</v>
      </c>
      <c r="D193" s="8" t="s">
        <v>27</v>
      </c>
      <c r="E193" s="19" t="s">
        <v>27</v>
      </c>
      <c r="F193" s="6" t="s">
        <v>27</v>
      </c>
      <c r="G193" s="9" t="s">
        <v>27</v>
      </c>
      <c r="I193" s="18"/>
    </row>
    <row r="194" spans="1:9" ht="13.2" thickBot="1">
      <c r="A194" s="7" t="s">
        <v>27</v>
      </c>
      <c r="B194" s="7" t="s">
        <v>27</v>
      </c>
      <c r="C194" s="7" t="s">
        <v>27</v>
      </c>
      <c r="D194" s="8" t="s">
        <v>27</v>
      </c>
      <c r="E194" s="19" t="s">
        <v>27</v>
      </c>
      <c r="F194" s="6" t="s">
        <v>27</v>
      </c>
      <c r="G194" s="9" t="s">
        <v>27</v>
      </c>
      <c r="I194" s="18"/>
    </row>
    <row r="195" spans="1:9" ht="13.2" thickBot="1">
      <c r="A195" s="7" t="s">
        <v>27</v>
      </c>
      <c r="B195" s="7" t="s">
        <v>27</v>
      </c>
      <c r="C195" s="7" t="s">
        <v>27</v>
      </c>
      <c r="D195" s="8" t="s">
        <v>27</v>
      </c>
      <c r="E195" s="19" t="s">
        <v>27</v>
      </c>
      <c r="F195" s="6" t="s">
        <v>27</v>
      </c>
      <c r="G195" s="9" t="s">
        <v>27</v>
      </c>
      <c r="I195" s="18"/>
    </row>
    <row r="196" spans="1:9" ht="13.2" thickBot="1">
      <c r="A196" s="7" t="s">
        <v>27</v>
      </c>
      <c r="B196" s="7" t="s">
        <v>27</v>
      </c>
      <c r="C196" s="7" t="s">
        <v>27</v>
      </c>
      <c r="D196" s="8" t="s">
        <v>27</v>
      </c>
      <c r="E196" s="19" t="s">
        <v>27</v>
      </c>
      <c r="F196" s="6" t="s">
        <v>27</v>
      </c>
      <c r="G196" s="9" t="s">
        <v>27</v>
      </c>
      <c r="I196" s="18"/>
    </row>
    <row r="197" spans="1:9" ht="13.2" thickBot="1">
      <c r="A197" s="7" t="s">
        <v>27</v>
      </c>
      <c r="B197" s="7" t="s">
        <v>27</v>
      </c>
      <c r="C197" s="7" t="s">
        <v>27</v>
      </c>
      <c r="D197" s="8" t="s">
        <v>27</v>
      </c>
      <c r="E197" s="19" t="s">
        <v>27</v>
      </c>
      <c r="F197" s="6" t="s">
        <v>27</v>
      </c>
      <c r="G197" s="9" t="s">
        <v>27</v>
      </c>
      <c r="I197" s="18"/>
    </row>
    <row r="198" spans="1:9" ht="13.2" thickBot="1">
      <c r="A198" s="7" t="s">
        <v>27</v>
      </c>
      <c r="B198" s="7" t="s">
        <v>27</v>
      </c>
      <c r="C198" s="7" t="s">
        <v>27</v>
      </c>
      <c r="D198" s="8" t="s">
        <v>27</v>
      </c>
      <c r="E198" s="19" t="s">
        <v>27</v>
      </c>
      <c r="F198" s="6" t="s">
        <v>27</v>
      </c>
      <c r="G198" s="9" t="s">
        <v>27</v>
      </c>
      <c r="I198" s="18"/>
    </row>
    <row r="199" spans="1:9" ht="13.2" thickBot="1">
      <c r="A199" s="7" t="s">
        <v>27</v>
      </c>
      <c r="B199" s="7" t="s">
        <v>27</v>
      </c>
      <c r="C199" s="7" t="s">
        <v>27</v>
      </c>
      <c r="D199" s="8" t="s">
        <v>27</v>
      </c>
      <c r="E199" s="19" t="s">
        <v>27</v>
      </c>
      <c r="F199" s="6" t="s">
        <v>27</v>
      </c>
      <c r="G199" s="9" t="s">
        <v>27</v>
      </c>
      <c r="I199" s="18"/>
    </row>
    <row r="200" spans="1:9" ht="13.2" thickBot="1">
      <c r="A200" s="7" t="s">
        <v>27</v>
      </c>
      <c r="B200" s="7" t="s">
        <v>27</v>
      </c>
      <c r="C200" s="7" t="s">
        <v>27</v>
      </c>
      <c r="D200" s="8" t="s">
        <v>27</v>
      </c>
      <c r="E200" s="19" t="s">
        <v>27</v>
      </c>
      <c r="F200" s="6" t="s">
        <v>27</v>
      </c>
      <c r="G200" s="9" t="s">
        <v>27</v>
      </c>
      <c r="I200" s="18"/>
    </row>
    <row r="201" spans="1:9" ht="13.2" thickBot="1">
      <c r="A201" s="7" t="s">
        <v>27</v>
      </c>
      <c r="B201" s="7" t="s">
        <v>27</v>
      </c>
      <c r="C201" s="7" t="s">
        <v>27</v>
      </c>
      <c r="D201" s="8" t="s">
        <v>27</v>
      </c>
      <c r="E201" s="19" t="s">
        <v>27</v>
      </c>
      <c r="F201" s="6" t="s">
        <v>27</v>
      </c>
      <c r="G201" s="9" t="s">
        <v>27</v>
      </c>
      <c r="I201" s="18"/>
    </row>
    <row r="202" spans="1:9" ht="13.2" thickBot="1">
      <c r="A202" s="7" t="s">
        <v>27</v>
      </c>
      <c r="B202" s="7" t="s">
        <v>27</v>
      </c>
      <c r="C202" s="7" t="s">
        <v>27</v>
      </c>
      <c r="D202" s="8" t="s">
        <v>27</v>
      </c>
      <c r="E202" s="19" t="s">
        <v>27</v>
      </c>
      <c r="F202" s="6" t="s">
        <v>27</v>
      </c>
      <c r="G202" s="9" t="s">
        <v>27</v>
      </c>
      <c r="I202" s="18"/>
    </row>
    <row r="203" spans="1:9" ht="13.2" thickBot="1">
      <c r="A203" s="7" t="s">
        <v>27</v>
      </c>
      <c r="B203" s="7" t="s">
        <v>27</v>
      </c>
      <c r="C203" s="7" t="s">
        <v>27</v>
      </c>
      <c r="D203" s="8" t="s">
        <v>27</v>
      </c>
      <c r="E203" s="19" t="s">
        <v>27</v>
      </c>
      <c r="F203" s="6" t="s">
        <v>27</v>
      </c>
      <c r="G203" s="9" t="s">
        <v>27</v>
      </c>
      <c r="I203" s="18"/>
    </row>
    <row r="204" spans="1:9" ht="13.2" thickBot="1">
      <c r="A204" s="7" t="s">
        <v>27</v>
      </c>
      <c r="B204" s="7" t="s">
        <v>27</v>
      </c>
      <c r="C204" s="7" t="s">
        <v>27</v>
      </c>
      <c r="D204" s="8" t="s">
        <v>27</v>
      </c>
      <c r="E204" s="19" t="s">
        <v>27</v>
      </c>
      <c r="F204" s="6" t="s">
        <v>27</v>
      </c>
      <c r="G204" s="9" t="s">
        <v>27</v>
      </c>
      <c r="I204" s="18"/>
    </row>
    <row r="205" spans="1:9" ht="13.2" thickBot="1">
      <c r="A205" s="7" t="s">
        <v>27</v>
      </c>
      <c r="B205" s="7" t="s">
        <v>27</v>
      </c>
      <c r="C205" s="7" t="s">
        <v>27</v>
      </c>
      <c r="D205" s="8" t="s">
        <v>27</v>
      </c>
      <c r="E205" s="19" t="s">
        <v>27</v>
      </c>
      <c r="F205" s="6" t="s">
        <v>27</v>
      </c>
      <c r="G205" s="9" t="s">
        <v>27</v>
      </c>
      <c r="I205" s="18"/>
    </row>
    <row r="206" spans="1:9" ht="13.2" thickBot="1">
      <c r="A206" s="7" t="s">
        <v>27</v>
      </c>
      <c r="B206" s="7" t="s">
        <v>27</v>
      </c>
      <c r="C206" s="7" t="s">
        <v>27</v>
      </c>
      <c r="D206" s="8" t="s">
        <v>27</v>
      </c>
      <c r="E206" s="19" t="s">
        <v>27</v>
      </c>
      <c r="F206" s="6" t="s">
        <v>27</v>
      </c>
      <c r="G206" s="9" t="s">
        <v>27</v>
      </c>
      <c r="I206" s="18"/>
    </row>
    <row r="207" spans="1:9" ht="13.2" thickBot="1">
      <c r="A207" s="7" t="s">
        <v>27</v>
      </c>
      <c r="B207" s="7" t="s">
        <v>27</v>
      </c>
      <c r="C207" s="7" t="s">
        <v>27</v>
      </c>
      <c r="D207" s="8" t="s">
        <v>27</v>
      </c>
      <c r="E207" s="19" t="s">
        <v>27</v>
      </c>
      <c r="F207" s="6" t="s">
        <v>27</v>
      </c>
      <c r="G207" s="9" t="s">
        <v>27</v>
      </c>
      <c r="I207" s="18"/>
    </row>
    <row r="208" spans="1:9" ht="13.2" thickBot="1">
      <c r="A208" s="7" t="s">
        <v>27</v>
      </c>
      <c r="B208" s="7" t="s">
        <v>27</v>
      </c>
      <c r="C208" s="7" t="s">
        <v>27</v>
      </c>
      <c r="D208" s="8" t="s">
        <v>27</v>
      </c>
      <c r="E208" s="19" t="s">
        <v>27</v>
      </c>
      <c r="F208" s="6" t="s">
        <v>27</v>
      </c>
      <c r="G208" s="9" t="s">
        <v>27</v>
      </c>
      <c r="I208" s="18"/>
    </row>
    <row r="209" spans="1:9" ht="13.2" thickBot="1">
      <c r="A209" s="7" t="s">
        <v>27</v>
      </c>
      <c r="B209" s="7" t="s">
        <v>27</v>
      </c>
      <c r="C209" s="7" t="s">
        <v>27</v>
      </c>
      <c r="D209" s="8" t="s">
        <v>27</v>
      </c>
      <c r="E209" s="19" t="s">
        <v>27</v>
      </c>
      <c r="F209" s="6" t="s">
        <v>27</v>
      </c>
      <c r="G209" s="9" t="s">
        <v>27</v>
      </c>
      <c r="I209" s="18"/>
    </row>
    <row r="210" spans="1:9" ht="13.2" thickBot="1">
      <c r="A210" s="7" t="s">
        <v>27</v>
      </c>
      <c r="B210" s="7" t="s">
        <v>27</v>
      </c>
      <c r="C210" s="7" t="s">
        <v>27</v>
      </c>
      <c r="D210" s="8" t="s">
        <v>27</v>
      </c>
      <c r="E210" s="19" t="s">
        <v>27</v>
      </c>
      <c r="F210" s="6" t="s">
        <v>27</v>
      </c>
      <c r="G210" s="9" t="s">
        <v>27</v>
      </c>
      <c r="I210" s="18"/>
    </row>
    <row r="211" spans="1:9" ht="13.2" thickBot="1">
      <c r="A211" s="7" t="s">
        <v>27</v>
      </c>
      <c r="B211" s="7" t="s">
        <v>27</v>
      </c>
      <c r="C211" s="7" t="s">
        <v>27</v>
      </c>
      <c r="D211" s="8" t="s">
        <v>27</v>
      </c>
      <c r="E211" s="19" t="s">
        <v>27</v>
      </c>
      <c r="F211" s="6" t="s">
        <v>27</v>
      </c>
      <c r="G211" s="9" t="s">
        <v>27</v>
      </c>
      <c r="I211" s="18"/>
    </row>
    <row r="212" spans="1:9" ht="13.2" thickBot="1">
      <c r="A212" s="7" t="s">
        <v>27</v>
      </c>
      <c r="B212" s="7" t="s">
        <v>27</v>
      </c>
      <c r="C212" s="7" t="s">
        <v>27</v>
      </c>
      <c r="D212" s="8" t="s">
        <v>27</v>
      </c>
      <c r="E212" s="19" t="s">
        <v>27</v>
      </c>
      <c r="F212" s="6" t="s">
        <v>27</v>
      </c>
      <c r="G212" s="9" t="s">
        <v>27</v>
      </c>
      <c r="I212" s="18"/>
    </row>
    <row r="213" spans="1:9" ht="13.2" thickBot="1">
      <c r="A213" s="7" t="s">
        <v>27</v>
      </c>
      <c r="B213" s="7" t="s">
        <v>27</v>
      </c>
      <c r="C213" s="7" t="s">
        <v>27</v>
      </c>
      <c r="D213" s="8" t="s">
        <v>27</v>
      </c>
      <c r="E213" s="19" t="s">
        <v>27</v>
      </c>
      <c r="F213" s="6" t="s">
        <v>27</v>
      </c>
      <c r="G213" s="9" t="s">
        <v>27</v>
      </c>
      <c r="I213" s="18"/>
    </row>
    <row r="214" spans="1:9" ht="13.2" thickBot="1">
      <c r="A214" s="7" t="s">
        <v>27</v>
      </c>
      <c r="B214" s="7" t="s">
        <v>27</v>
      </c>
      <c r="C214" s="7" t="s">
        <v>27</v>
      </c>
      <c r="D214" s="8" t="s">
        <v>27</v>
      </c>
      <c r="E214" s="19" t="s">
        <v>27</v>
      </c>
      <c r="F214" s="6" t="s">
        <v>27</v>
      </c>
      <c r="G214" s="9" t="s">
        <v>27</v>
      </c>
      <c r="I214" s="18"/>
    </row>
    <row r="215" spans="1:9" ht="13.2" thickBot="1">
      <c r="A215" s="7" t="s">
        <v>27</v>
      </c>
      <c r="B215" s="7" t="s">
        <v>27</v>
      </c>
      <c r="C215" s="7" t="s">
        <v>27</v>
      </c>
      <c r="D215" s="8" t="s">
        <v>27</v>
      </c>
      <c r="E215" s="19" t="s">
        <v>27</v>
      </c>
      <c r="F215" s="6" t="s">
        <v>27</v>
      </c>
      <c r="G215" s="9" t="s">
        <v>27</v>
      </c>
      <c r="I215" s="18"/>
    </row>
    <row r="216" spans="1:9" ht="13.2" thickBot="1">
      <c r="A216" s="7" t="s">
        <v>27</v>
      </c>
      <c r="B216" s="7" t="s">
        <v>27</v>
      </c>
      <c r="C216" s="7" t="s">
        <v>27</v>
      </c>
      <c r="D216" s="8" t="s">
        <v>27</v>
      </c>
      <c r="E216" s="19" t="s">
        <v>27</v>
      </c>
      <c r="F216" s="6" t="s">
        <v>27</v>
      </c>
      <c r="G216" s="9" t="s">
        <v>27</v>
      </c>
      <c r="I216" s="18"/>
    </row>
    <row r="217" spans="1:9" ht="13.2" thickBot="1">
      <c r="A217" s="7" t="s">
        <v>27</v>
      </c>
      <c r="B217" s="7" t="s">
        <v>27</v>
      </c>
      <c r="C217" s="7" t="s">
        <v>27</v>
      </c>
      <c r="D217" s="8" t="s">
        <v>27</v>
      </c>
      <c r="E217" s="19" t="s">
        <v>27</v>
      </c>
      <c r="F217" s="6" t="s">
        <v>27</v>
      </c>
      <c r="G217" s="9" t="s">
        <v>27</v>
      </c>
      <c r="I217" s="18"/>
    </row>
    <row r="218" spans="1:9" ht="13.2" thickBot="1">
      <c r="A218" s="7" t="s">
        <v>27</v>
      </c>
      <c r="B218" s="7" t="s">
        <v>27</v>
      </c>
      <c r="C218" s="7" t="s">
        <v>27</v>
      </c>
      <c r="D218" s="8" t="s">
        <v>27</v>
      </c>
      <c r="E218" s="19" t="s">
        <v>27</v>
      </c>
      <c r="F218" s="6" t="s">
        <v>27</v>
      </c>
      <c r="G218" s="9" t="s">
        <v>27</v>
      </c>
      <c r="I218" s="18"/>
    </row>
    <row r="219" spans="1:9" ht="13.2" thickBot="1">
      <c r="A219" s="7" t="s">
        <v>27</v>
      </c>
      <c r="B219" s="7" t="s">
        <v>27</v>
      </c>
      <c r="C219" s="7" t="s">
        <v>27</v>
      </c>
      <c r="D219" s="8" t="s">
        <v>27</v>
      </c>
      <c r="E219" s="19" t="s">
        <v>27</v>
      </c>
      <c r="F219" s="6" t="s">
        <v>27</v>
      </c>
      <c r="G219" s="9" t="s">
        <v>27</v>
      </c>
      <c r="I219" s="18"/>
    </row>
    <row r="220" spans="1:9" ht="13.2" thickBot="1">
      <c r="A220" s="7" t="s">
        <v>27</v>
      </c>
      <c r="B220" s="7" t="s">
        <v>27</v>
      </c>
      <c r="C220" s="7" t="s">
        <v>27</v>
      </c>
      <c r="D220" s="8" t="s">
        <v>27</v>
      </c>
      <c r="E220" s="19" t="s">
        <v>27</v>
      </c>
      <c r="F220" s="6" t="s">
        <v>27</v>
      </c>
      <c r="G220" s="9" t="s">
        <v>27</v>
      </c>
      <c r="I220" s="18"/>
    </row>
    <row r="221" spans="1:9" ht="13.2" thickBot="1">
      <c r="A221" s="7" t="s">
        <v>27</v>
      </c>
      <c r="B221" s="7" t="s">
        <v>27</v>
      </c>
      <c r="C221" s="7" t="s">
        <v>27</v>
      </c>
      <c r="D221" s="8" t="s">
        <v>27</v>
      </c>
      <c r="E221" s="19" t="s">
        <v>27</v>
      </c>
      <c r="F221" s="6" t="s">
        <v>27</v>
      </c>
      <c r="G221" s="9" t="s">
        <v>27</v>
      </c>
      <c r="I221" s="18"/>
    </row>
    <row r="222" spans="1:9" ht="13.2" thickBot="1">
      <c r="A222" s="7" t="s">
        <v>27</v>
      </c>
      <c r="B222" s="7" t="s">
        <v>27</v>
      </c>
      <c r="C222" s="7" t="s">
        <v>27</v>
      </c>
      <c r="D222" s="8" t="s">
        <v>27</v>
      </c>
      <c r="E222" s="19" t="s">
        <v>27</v>
      </c>
      <c r="F222" s="6" t="s">
        <v>27</v>
      </c>
      <c r="G222" s="9" t="s">
        <v>27</v>
      </c>
      <c r="I222" s="18"/>
    </row>
    <row r="223" spans="1:9" ht="13.2" thickBot="1">
      <c r="A223" s="7" t="s">
        <v>27</v>
      </c>
      <c r="B223" s="7" t="s">
        <v>27</v>
      </c>
      <c r="C223" s="7" t="s">
        <v>27</v>
      </c>
      <c r="D223" s="8" t="s">
        <v>27</v>
      </c>
      <c r="E223" s="19" t="s">
        <v>27</v>
      </c>
      <c r="F223" s="6" t="s">
        <v>27</v>
      </c>
      <c r="G223" s="9" t="s">
        <v>27</v>
      </c>
      <c r="I223" s="18"/>
    </row>
    <row r="224" spans="1:9" ht="13.2" thickBot="1">
      <c r="A224" s="7" t="s">
        <v>27</v>
      </c>
      <c r="B224" s="7" t="s">
        <v>27</v>
      </c>
      <c r="C224" s="7" t="s">
        <v>27</v>
      </c>
      <c r="D224" s="8" t="s">
        <v>27</v>
      </c>
      <c r="E224" s="19" t="s">
        <v>27</v>
      </c>
      <c r="F224" s="6" t="s">
        <v>27</v>
      </c>
      <c r="G224" s="9" t="s">
        <v>27</v>
      </c>
      <c r="I224" s="18"/>
    </row>
    <row r="225" spans="1:9" ht="13.2" thickBot="1">
      <c r="A225" s="7" t="s">
        <v>27</v>
      </c>
      <c r="B225" s="7" t="s">
        <v>27</v>
      </c>
      <c r="C225" s="7" t="s">
        <v>27</v>
      </c>
      <c r="D225" s="8" t="s">
        <v>27</v>
      </c>
      <c r="E225" s="19" t="s">
        <v>27</v>
      </c>
      <c r="F225" s="6" t="s">
        <v>27</v>
      </c>
      <c r="G225" s="9" t="s">
        <v>27</v>
      </c>
      <c r="I225" s="18"/>
    </row>
    <row r="226" spans="1:9" ht="13.2" thickBot="1">
      <c r="A226" s="7" t="s">
        <v>27</v>
      </c>
      <c r="B226" s="7" t="s">
        <v>27</v>
      </c>
      <c r="C226" s="7" t="s">
        <v>27</v>
      </c>
      <c r="D226" s="8" t="s">
        <v>27</v>
      </c>
      <c r="E226" s="19" t="s">
        <v>27</v>
      </c>
      <c r="F226" s="6" t="s">
        <v>27</v>
      </c>
      <c r="G226" s="9" t="s">
        <v>27</v>
      </c>
      <c r="I226" s="18"/>
    </row>
    <row r="227" spans="1:9" ht="13.2" thickBot="1">
      <c r="A227" s="7" t="s">
        <v>27</v>
      </c>
      <c r="B227" s="7" t="s">
        <v>27</v>
      </c>
      <c r="C227" s="7" t="s">
        <v>27</v>
      </c>
      <c r="D227" s="8" t="s">
        <v>27</v>
      </c>
      <c r="E227" s="19" t="s">
        <v>27</v>
      </c>
      <c r="F227" s="6" t="s">
        <v>27</v>
      </c>
      <c r="G227" s="9" t="s">
        <v>27</v>
      </c>
      <c r="I227" s="18"/>
    </row>
    <row r="228" spans="1:9" ht="13.2" thickBot="1">
      <c r="A228" s="7" t="s">
        <v>27</v>
      </c>
      <c r="B228" s="7" t="s">
        <v>27</v>
      </c>
      <c r="C228" s="7" t="s">
        <v>27</v>
      </c>
      <c r="D228" s="8" t="s">
        <v>27</v>
      </c>
      <c r="E228" s="19" t="s">
        <v>27</v>
      </c>
      <c r="F228" s="6" t="s">
        <v>27</v>
      </c>
      <c r="G228" s="9" t="s">
        <v>27</v>
      </c>
      <c r="I228" s="18"/>
    </row>
    <row r="229" spans="1:9" ht="13.2" thickBot="1">
      <c r="A229" s="7" t="s">
        <v>27</v>
      </c>
      <c r="B229" s="7" t="s">
        <v>27</v>
      </c>
      <c r="C229" s="7" t="s">
        <v>27</v>
      </c>
      <c r="D229" s="8" t="s">
        <v>27</v>
      </c>
      <c r="E229" s="19" t="s">
        <v>27</v>
      </c>
      <c r="F229" s="6" t="s">
        <v>27</v>
      </c>
      <c r="G229" s="9" t="s">
        <v>27</v>
      </c>
      <c r="I229" s="18"/>
    </row>
    <row r="230" spans="1:9" ht="13.2" thickBot="1">
      <c r="A230" s="7" t="s">
        <v>27</v>
      </c>
      <c r="B230" s="7" t="s">
        <v>27</v>
      </c>
      <c r="C230" s="7" t="s">
        <v>27</v>
      </c>
      <c r="D230" s="8" t="s">
        <v>27</v>
      </c>
      <c r="E230" s="19" t="s">
        <v>27</v>
      </c>
      <c r="F230" s="6" t="s">
        <v>27</v>
      </c>
      <c r="G230" s="9" t="s">
        <v>27</v>
      </c>
      <c r="I230" s="18"/>
    </row>
    <row r="231" spans="1:9" ht="13.2" thickBot="1">
      <c r="A231" s="7" t="s">
        <v>27</v>
      </c>
      <c r="B231" s="7" t="s">
        <v>27</v>
      </c>
      <c r="C231" s="7" t="s">
        <v>27</v>
      </c>
      <c r="D231" s="8" t="s">
        <v>27</v>
      </c>
      <c r="E231" s="19" t="s">
        <v>27</v>
      </c>
      <c r="F231" s="6" t="s">
        <v>27</v>
      </c>
      <c r="G231" s="9" t="s">
        <v>27</v>
      </c>
      <c r="I231" s="18"/>
    </row>
    <row r="232" spans="1:9" ht="13.2" thickBot="1">
      <c r="A232" s="7" t="s">
        <v>27</v>
      </c>
      <c r="B232" s="7" t="s">
        <v>27</v>
      </c>
      <c r="C232" s="7" t="s">
        <v>27</v>
      </c>
      <c r="D232" s="8" t="s">
        <v>27</v>
      </c>
      <c r="E232" s="19" t="s">
        <v>27</v>
      </c>
      <c r="F232" s="6" t="s">
        <v>27</v>
      </c>
      <c r="G232" s="9" t="s">
        <v>27</v>
      </c>
      <c r="I232" s="18"/>
    </row>
    <row r="233" spans="1:9" ht="13.2" thickBot="1">
      <c r="A233" s="7" t="s">
        <v>27</v>
      </c>
      <c r="B233" s="7" t="s">
        <v>27</v>
      </c>
      <c r="C233" s="7" t="s">
        <v>27</v>
      </c>
      <c r="D233" s="8" t="s">
        <v>27</v>
      </c>
      <c r="E233" s="19" t="s">
        <v>27</v>
      </c>
      <c r="F233" s="6" t="s">
        <v>27</v>
      </c>
      <c r="G233" s="9" t="s">
        <v>27</v>
      </c>
      <c r="I233" s="18"/>
    </row>
    <row r="234" spans="1:9" ht="13.2" thickBot="1">
      <c r="A234" s="7" t="s">
        <v>27</v>
      </c>
      <c r="B234" s="7" t="s">
        <v>27</v>
      </c>
      <c r="C234" s="7" t="s">
        <v>27</v>
      </c>
      <c r="D234" s="8" t="s">
        <v>27</v>
      </c>
      <c r="E234" s="19" t="s">
        <v>27</v>
      </c>
      <c r="F234" s="6" t="s">
        <v>27</v>
      </c>
      <c r="G234" s="9" t="s">
        <v>27</v>
      </c>
      <c r="I234" s="18"/>
    </row>
    <row r="235" spans="1:9" ht="13.2" thickBot="1">
      <c r="A235" s="7" t="s">
        <v>27</v>
      </c>
      <c r="B235" s="7" t="s">
        <v>27</v>
      </c>
      <c r="C235" s="7" t="s">
        <v>27</v>
      </c>
      <c r="D235" s="8" t="s">
        <v>27</v>
      </c>
      <c r="E235" s="19" t="s">
        <v>27</v>
      </c>
      <c r="F235" s="6" t="s">
        <v>27</v>
      </c>
      <c r="G235" s="9" t="s">
        <v>27</v>
      </c>
      <c r="I235" s="18"/>
    </row>
    <row r="236" spans="1:9" ht="13.2" thickBot="1">
      <c r="A236" s="7" t="s">
        <v>27</v>
      </c>
      <c r="B236" s="7" t="s">
        <v>27</v>
      </c>
      <c r="C236" s="7" t="s">
        <v>27</v>
      </c>
      <c r="D236" s="8" t="s">
        <v>27</v>
      </c>
      <c r="E236" s="19" t="s">
        <v>27</v>
      </c>
      <c r="F236" s="6" t="s">
        <v>27</v>
      </c>
      <c r="G236" s="9" t="s">
        <v>27</v>
      </c>
      <c r="I236" s="18"/>
    </row>
    <row r="237" spans="1:9" ht="13.2" thickBot="1">
      <c r="A237" s="7" t="s">
        <v>27</v>
      </c>
      <c r="B237" s="7" t="s">
        <v>27</v>
      </c>
      <c r="C237" s="7" t="s">
        <v>27</v>
      </c>
      <c r="D237" s="8" t="s">
        <v>27</v>
      </c>
      <c r="E237" s="19" t="s">
        <v>27</v>
      </c>
      <c r="F237" s="6" t="s">
        <v>27</v>
      </c>
      <c r="G237" s="9" t="s">
        <v>27</v>
      </c>
      <c r="I237" s="18"/>
    </row>
    <row r="238" spans="1:9" ht="13.2" thickBot="1">
      <c r="A238" s="7" t="s">
        <v>27</v>
      </c>
      <c r="B238" s="7" t="s">
        <v>27</v>
      </c>
      <c r="C238" s="7" t="s">
        <v>27</v>
      </c>
      <c r="D238" s="8" t="s">
        <v>27</v>
      </c>
      <c r="E238" s="19" t="s">
        <v>27</v>
      </c>
      <c r="F238" s="6" t="s">
        <v>27</v>
      </c>
      <c r="G238" s="9" t="s">
        <v>27</v>
      </c>
      <c r="I238" s="18"/>
    </row>
    <row r="239" spans="1:9" ht="13.2" thickBot="1">
      <c r="A239" s="7" t="s">
        <v>27</v>
      </c>
      <c r="B239" s="7" t="s">
        <v>27</v>
      </c>
      <c r="C239" s="7" t="s">
        <v>27</v>
      </c>
      <c r="D239" s="8" t="s">
        <v>27</v>
      </c>
      <c r="E239" s="19" t="s">
        <v>27</v>
      </c>
      <c r="F239" s="6" t="s">
        <v>27</v>
      </c>
      <c r="G239" s="9" t="s">
        <v>27</v>
      </c>
      <c r="I239" s="18"/>
    </row>
    <row r="240" spans="1:9" ht="13.2" thickBot="1">
      <c r="A240" s="7" t="s">
        <v>27</v>
      </c>
      <c r="B240" s="7" t="s">
        <v>27</v>
      </c>
      <c r="C240" s="7" t="s">
        <v>27</v>
      </c>
      <c r="D240" s="8" t="s">
        <v>27</v>
      </c>
      <c r="E240" s="19" t="s">
        <v>27</v>
      </c>
      <c r="F240" s="6" t="s">
        <v>27</v>
      </c>
      <c r="G240" s="9" t="s">
        <v>27</v>
      </c>
      <c r="I240" s="18"/>
    </row>
    <row r="241" spans="1:9" ht="13.2" thickBot="1">
      <c r="A241" s="7" t="s">
        <v>27</v>
      </c>
      <c r="B241" s="7" t="s">
        <v>27</v>
      </c>
      <c r="C241" s="7" t="s">
        <v>27</v>
      </c>
      <c r="D241" s="8" t="s">
        <v>27</v>
      </c>
      <c r="E241" s="19" t="s">
        <v>27</v>
      </c>
      <c r="F241" s="6" t="s">
        <v>27</v>
      </c>
      <c r="G241" s="9" t="s">
        <v>27</v>
      </c>
      <c r="I241" s="18"/>
    </row>
    <row r="242" spans="1:9" ht="13.2" thickBot="1">
      <c r="A242" s="7" t="s">
        <v>27</v>
      </c>
      <c r="B242" s="7" t="s">
        <v>27</v>
      </c>
      <c r="C242" s="7" t="s">
        <v>27</v>
      </c>
      <c r="D242" s="8" t="s">
        <v>27</v>
      </c>
      <c r="E242" s="19" t="s">
        <v>27</v>
      </c>
      <c r="F242" s="6" t="s">
        <v>27</v>
      </c>
      <c r="G242" s="9" t="s">
        <v>27</v>
      </c>
      <c r="I242" s="18"/>
    </row>
    <row r="243" spans="1:9" ht="13.2" thickBot="1">
      <c r="A243" s="7" t="s">
        <v>27</v>
      </c>
      <c r="B243" s="7" t="s">
        <v>27</v>
      </c>
      <c r="C243" s="7" t="s">
        <v>27</v>
      </c>
      <c r="D243" s="8" t="s">
        <v>27</v>
      </c>
      <c r="E243" s="19" t="s">
        <v>27</v>
      </c>
      <c r="F243" s="6" t="s">
        <v>27</v>
      </c>
      <c r="G243" s="9" t="s">
        <v>27</v>
      </c>
      <c r="I243" s="18"/>
    </row>
    <row r="244" spans="1:9" ht="13.2" thickBot="1">
      <c r="A244" s="7" t="s">
        <v>27</v>
      </c>
      <c r="B244" s="7" t="s">
        <v>27</v>
      </c>
      <c r="C244" s="7" t="s">
        <v>27</v>
      </c>
      <c r="D244" s="8" t="s">
        <v>27</v>
      </c>
      <c r="E244" s="19" t="s">
        <v>27</v>
      </c>
      <c r="F244" s="6" t="s">
        <v>27</v>
      </c>
      <c r="G244" s="9" t="s">
        <v>27</v>
      </c>
      <c r="I244" s="18"/>
    </row>
    <row r="245" spans="1:9" ht="13.2" thickBot="1">
      <c r="A245" s="7" t="s">
        <v>27</v>
      </c>
      <c r="B245" s="7" t="s">
        <v>27</v>
      </c>
      <c r="C245" s="7" t="s">
        <v>27</v>
      </c>
      <c r="D245" s="8" t="s">
        <v>27</v>
      </c>
      <c r="E245" s="19" t="s">
        <v>27</v>
      </c>
      <c r="F245" s="6" t="s">
        <v>27</v>
      </c>
      <c r="G245" s="9" t="s">
        <v>27</v>
      </c>
      <c r="I245" s="18"/>
    </row>
    <row r="246" spans="1:9" ht="13.2" thickBot="1">
      <c r="A246" s="7" t="s">
        <v>27</v>
      </c>
      <c r="B246" s="7" t="s">
        <v>27</v>
      </c>
      <c r="C246" s="7" t="s">
        <v>27</v>
      </c>
      <c r="D246" s="8" t="s">
        <v>27</v>
      </c>
      <c r="E246" s="19" t="s">
        <v>27</v>
      </c>
      <c r="F246" s="6" t="s">
        <v>27</v>
      </c>
      <c r="G246" s="9" t="s">
        <v>27</v>
      </c>
      <c r="I246" s="18"/>
    </row>
    <row r="247" spans="1:9" ht="13.2" thickBot="1">
      <c r="A247" s="7" t="s">
        <v>27</v>
      </c>
      <c r="B247" s="7" t="s">
        <v>27</v>
      </c>
      <c r="C247" s="7" t="s">
        <v>27</v>
      </c>
      <c r="D247" s="8" t="s">
        <v>27</v>
      </c>
      <c r="E247" s="19" t="s">
        <v>27</v>
      </c>
      <c r="F247" s="6" t="s">
        <v>27</v>
      </c>
      <c r="G247" s="9" t="s">
        <v>27</v>
      </c>
      <c r="I247" s="18"/>
    </row>
    <row r="248" spans="1:9" ht="13.2" thickBot="1">
      <c r="A248" s="7" t="s">
        <v>27</v>
      </c>
      <c r="B248" s="7" t="s">
        <v>27</v>
      </c>
      <c r="C248" s="7" t="s">
        <v>27</v>
      </c>
      <c r="D248" s="8" t="s">
        <v>27</v>
      </c>
      <c r="E248" s="19" t="s">
        <v>27</v>
      </c>
      <c r="F248" s="6" t="s">
        <v>27</v>
      </c>
      <c r="G248" s="9" t="s">
        <v>27</v>
      </c>
      <c r="I248" s="18"/>
    </row>
    <row r="249" spans="1:9" ht="13.2" thickBot="1">
      <c r="A249" s="7" t="s">
        <v>27</v>
      </c>
      <c r="B249" s="7" t="s">
        <v>27</v>
      </c>
      <c r="C249" s="7" t="s">
        <v>27</v>
      </c>
      <c r="D249" s="8" t="s">
        <v>27</v>
      </c>
      <c r="E249" s="19" t="s">
        <v>27</v>
      </c>
      <c r="F249" s="6" t="s">
        <v>27</v>
      </c>
      <c r="G249" s="9" t="s">
        <v>27</v>
      </c>
      <c r="I249" s="18"/>
    </row>
    <row r="250" spans="1:9" ht="13.2" thickBot="1">
      <c r="A250" s="7" t="s">
        <v>27</v>
      </c>
      <c r="B250" s="7" t="s">
        <v>27</v>
      </c>
      <c r="C250" s="7" t="s">
        <v>27</v>
      </c>
      <c r="D250" s="8" t="s">
        <v>27</v>
      </c>
      <c r="E250" s="19" t="s">
        <v>27</v>
      </c>
      <c r="F250" s="6" t="s">
        <v>27</v>
      </c>
      <c r="G250" s="9" t="s">
        <v>27</v>
      </c>
      <c r="I250" s="18"/>
    </row>
    <row r="251" spans="1:9" ht="13.2" thickBot="1">
      <c r="A251" s="7" t="s">
        <v>27</v>
      </c>
      <c r="B251" s="7" t="s">
        <v>27</v>
      </c>
      <c r="C251" s="7" t="s">
        <v>27</v>
      </c>
      <c r="D251" s="8" t="s">
        <v>27</v>
      </c>
      <c r="E251" s="19" t="s">
        <v>27</v>
      </c>
      <c r="F251" s="6" t="s">
        <v>27</v>
      </c>
      <c r="G251" s="9" t="s">
        <v>27</v>
      </c>
      <c r="I251" s="18"/>
    </row>
    <row r="252" spans="1:9" ht="13.2" thickBot="1">
      <c r="A252" s="7" t="s">
        <v>27</v>
      </c>
      <c r="B252" s="7" t="s">
        <v>27</v>
      </c>
      <c r="C252" s="7" t="s">
        <v>27</v>
      </c>
      <c r="D252" s="8" t="s">
        <v>27</v>
      </c>
      <c r="E252" s="19" t="s">
        <v>27</v>
      </c>
      <c r="F252" s="6" t="s">
        <v>27</v>
      </c>
      <c r="G252" s="9" t="s">
        <v>27</v>
      </c>
      <c r="I252" s="18"/>
    </row>
    <row r="253" spans="1:9" ht="13.2" thickBot="1">
      <c r="A253" s="7" t="s">
        <v>27</v>
      </c>
      <c r="B253" s="7" t="s">
        <v>27</v>
      </c>
      <c r="C253" s="7" t="s">
        <v>27</v>
      </c>
      <c r="D253" s="8" t="s">
        <v>27</v>
      </c>
      <c r="E253" s="19" t="s">
        <v>27</v>
      </c>
      <c r="F253" s="6" t="s">
        <v>27</v>
      </c>
      <c r="G253" s="9" t="s">
        <v>27</v>
      </c>
      <c r="I253" s="18"/>
    </row>
    <row r="254" spans="1:9" ht="13.2" thickBot="1">
      <c r="A254" s="7" t="s">
        <v>27</v>
      </c>
      <c r="B254" s="7" t="s">
        <v>27</v>
      </c>
      <c r="C254" s="7" t="s">
        <v>27</v>
      </c>
      <c r="D254" s="8" t="s">
        <v>27</v>
      </c>
      <c r="E254" s="19" t="s">
        <v>27</v>
      </c>
      <c r="F254" s="6" t="s">
        <v>27</v>
      </c>
      <c r="G254" s="9" t="s">
        <v>27</v>
      </c>
      <c r="I254" s="18"/>
    </row>
    <row r="255" spans="1:9" ht="13.2" thickBot="1">
      <c r="A255" s="7" t="s">
        <v>27</v>
      </c>
      <c r="B255" s="7" t="s">
        <v>27</v>
      </c>
      <c r="C255" s="7" t="s">
        <v>27</v>
      </c>
      <c r="D255" s="8" t="s">
        <v>27</v>
      </c>
      <c r="E255" s="19" t="s">
        <v>27</v>
      </c>
      <c r="F255" s="6" t="s">
        <v>27</v>
      </c>
      <c r="G255" s="9" t="s">
        <v>27</v>
      </c>
      <c r="I255" s="18"/>
    </row>
    <row r="256" spans="1:9" ht="13.2" thickBot="1">
      <c r="A256" s="7" t="s">
        <v>27</v>
      </c>
      <c r="B256" s="7" t="s">
        <v>27</v>
      </c>
      <c r="C256" s="7" t="s">
        <v>27</v>
      </c>
      <c r="D256" s="8" t="s">
        <v>27</v>
      </c>
      <c r="E256" s="19" t="s">
        <v>27</v>
      </c>
      <c r="F256" s="6" t="s">
        <v>27</v>
      </c>
      <c r="G256" s="9" t="s">
        <v>27</v>
      </c>
      <c r="I256" s="18"/>
    </row>
    <row r="257" spans="1:9" ht="13.2" thickBot="1">
      <c r="A257" s="7" t="s">
        <v>27</v>
      </c>
      <c r="B257" s="7" t="s">
        <v>27</v>
      </c>
      <c r="C257" s="7" t="s">
        <v>27</v>
      </c>
      <c r="D257" s="8" t="s">
        <v>27</v>
      </c>
      <c r="E257" s="19" t="s">
        <v>27</v>
      </c>
      <c r="F257" s="6" t="s">
        <v>27</v>
      </c>
      <c r="G257" s="9" t="s">
        <v>27</v>
      </c>
      <c r="I257" s="18"/>
    </row>
    <row r="258" spans="1:9" ht="13.2" thickBot="1">
      <c r="A258" s="7" t="s">
        <v>27</v>
      </c>
      <c r="B258" s="7" t="s">
        <v>27</v>
      </c>
      <c r="C258" s="7" t="s">
        <v>27</v>
      </c>
      <c r="D258" s="8" t="s">
        <v>27</v>
      </c>
      <c r="E258" s="19" t="s">
        <v>27</v>
      </c>
      <c r="F258" s="6" t="s">
        <v>27</v>
      </c>
      <c r="G258" s="9" t="s">
        <v>27</v>
      </c>
      <c r="I258" s="18"/>
    </row>
    <row r="259" spans="1:9" ht="13.2" thickBot="1">
      <c r="A259" s="7" t="s">
        <v>27</v>
      </c>
      <c r="B259" s="7" t="s">
        <v>27</v>
      </c>
      <c r="C259" s="7" t="s">
        <v>27</v>
      </c>
      <c r="D259" s="8" t="s">
        <v>27</v>
      </c>
      <c r="E259" s="19" t="s">
        <v>27</v>
      </c>
      <c r="F259" s="6" t="s">
        <v>27</v>
      </c>
      <c r="G259" s="9" t="s">
        <v>27</v>
      </c>
      <c r="I259" s="18"/>
    </row>
    <row r="260" spans="1:9" ht="13.2" thickBot="1">
      <c r="A260" s="7" t="s">
        <v>27</v>
      </c>
      <c r="B260" s="7" t="s">
        <v>27</v>
      </c>
      <c r="C260" s="7" t="s">
        <v>27</v>
      </c>
      <c r="D260" s="8" t="s">
        <v>27</v>
      </c>
      <c r="E260" s="19" t="s">
        <v>27</v>
      </c>
      <c r="F260" s="6" t="s">
        <v>27</v>
      </c>
      <c r="G260" s="9" t="s">
        <v>27</v>
      </c>
      <c r="I260" s="18"/>
    </row>
    <row r="261" spans="1:9" ht="13.2" thickBot="1">
      <c r="A261" s="7" t="s">
        <v>27</v>
      </c>
      <c r="B261" s="7" t="s">
        <v>27</v>
      </c>
      <c r="C261" s="7" t="s">
        <v>27</v>
      </c>
      <c r="D261" s="8" t="s">
        <v>27</v>
      </c>
      <c r="E261" s="19" t="s">
        <v>27</v>
      </c>
      <c r="F261" s="6" t="s">
        <v>27</v>
      </c>
      <c r="G261" s="9" t="s">
        <v>27</v>
      </c>
      <c r="I261" s="18"/>
    </row>
    <row r="262" spans="1:9" ht="13.2" thickBot="1">
      <c r="A262" s="7" t="s">
        <v>27</v>
      </c>
      <c r="B262" s="7" t="s">
        <v>27</v>
      </c>
      <c r="C262" s="7" t="s">
        <v>27</v>
      </c>
      <c r="D262" s="8" t="s">
        <v>27</v>
      </c>
      <c r="E262" s="19" t="s">
        <v>27</v>
      </c>
      <c r="F262" s="6" t="s">
        <v>27</v>
      </c>
      <c r="G262" s="9" t="s">
        <v>27</v>
      </c>
      <c r="I262" s="18"/>
    </row>
    <row r="263" spans="1:9" ht="13.2" thickBot="1">
      <c r="A263" s="7" t="s">
        <v>27</v>
      </c>
      <c r="B263" s="7" t="s">
        <v>27</v>
      </c>
      <c r="C263" s="7" t="s">
        <v>27</v>
      </c>
      <c r="D263" s="8" t="s">
        <v>27</v>
      </c>
      <c r="E263" s="19" t="s">
        <v>27</v>
      </c>
      <c r="F263" s="6" t="s">
        <v>27</v>
      </c>
      <c r="G263" s="9" t="s">
        <v>27</v>
      </c>
      <c r="I263" s="18"/>
    </row>
    <row r="264" spans="1:9" ht="13.2" thickBot="1">
      <c r="A264" s="7" t="s">
        <v>27</v>
      </c>
      <c r="B264" s="7" t="s">
        <v>27</v>
      </c>
      <c r="C264" s="7" t="s">
        <v>27</v>
      </c>
      <c r="D264" s="8" t="s">
        <v>27</v>
      </c>
      <c r="E264" s="19" t="s">
        <v>27</v>
      </c>
      <c r="F264" s="6" t="s">
        <v>27</v>
      </c>
      <c r="G264" s="9" t="s">
        <v>27</v>
      </c>
      <c r="I264" s="18"/>
    </row>
    <row r="265" spans="1:9" ht="13.2" thickBot="1">
      <c r="A265" s="7" t="s">
        <v>27</v>
      </c>
      <c r="B265" s="7" t="s">
        <v>27</v>
      </c>
      <c r="C265" s="7" t="s">
        <v>27</v>
      </c>
      <c r="D265" s="8" t="s">
        <v>27</v>
      </c>
      <c r="E265" s="19" t="s">
        <v>27</v>
      </c>
      <c r="F265" s="6" t="s">
        <v>27</v>
      </c>
      <c r="G265" s="9" t="s">
        <v>27</v>
      </c>
      <c r="I265" s="18"/>
    </row>
    <row r="266" spans="1:9" ht="13.2" thickBot="1">
      <c r="A266" s="7" t="s">
        <v>27</v>
      </c>
      <c r="B266" s="7" t="s">
        <v>27</v>
      </c>
      <c r="C266" s="7" t="s">
        <v>27</v>
      </c>
      <c r="D266" s="8" t="s">
        <v>27</v>
      </c>
      <c r="E266" s="19" t="s">
        <v>27</v>
      </c>
      <c r="F266" s="6" t="s">
        <v>27</v>
      </c>
      <c r="G266" s="9" t="s">
        <v>27</v>
      </c>
      <c r="I266" s="18"/>
    </row>
    <row r="267" spans="1:9" ht="13.2" thickBot="1">
      <c r="A267" s="7" t="s">
        <v>27</v>
      </c>
      <c r="B267" s="7" t="s">
        <v>27</v>
      </c>
      <c r="C267" s="7" t="s">
        <v>27</v>
      </c>
      <c r="D267" s="8" t="s">
        <v>27</v>
      </c>
      <c r="E267" s="19" t="s">
        <v>27</v>
      </c>
      <c r="F267" s="6" t="s">
        <v>27</v>
      </c>
      <c r="G267" s="9" t="s">
        <v>27</v>
      </c>
      <c r="I267" s="18"/>
    </row>
    <row r="268" spans="1:9" ht="13.2" thickBot="1">
      <c r="A268" s="7" t="s">
        <v>27</v>
      </c>
      <c r="B268" s="7" t="s">
        <v>27</v>
      </c>
      <c r="C268" s="7" t="s">
        <v>27</v>
      </c>
      <c r="D268" s="8" t="s">
        <v>27</v>
      </c>
      <c r="E268" s="19" t="s">
        <v>27</v>
      </c>
      <c r="F268" s="6" t="s">
        <v>27</v>
      </c>
      <c r="G268" s="9" t="s">
        <v>27</v>
      </c>
      <c r="I268" s="18"/>
    </row>
    <row r="269" spans="1:9" ht="13.2" thickBot="1">
      <c r="A269" s="7" t="s">
        <v>27</v>
      </c>
      <c r="B269" s="7" t="s">
        <v>27</v>
      </c>
      <c r="C269" s="7" t="s">
        <v>27</v>
      </c>
      <c r="D269" s="8" t="s">
        <v>27</v>
      </c>
      <c r="E269" s="19" t="s">
        <v>27</v>
      </c>
      <c r="F269" s="6" t="s">
        <v>27</v>
      </c>
      <c r="G269" s="9" t="s">
        <v>27</v>
      </c>
      <c r="I269" s="18"/>
    </row>
    <row r="270" spans="1:9" ht="13.2" thickBot="1">
      <c r="A270" s="7" t="s">
        <v>27</v>
      </c>
      <c r="B270" s="7" t="s">
        <v>27</v>
      </c>
      <c r="C270" s="7" t="s">
        <v>27</v>
      </c>
      <c r="D270" s="8" t="s">
        <v>27</v>
      </c>
      <c r="E270" s="19" t="s">
        <v>27</v>
      </c>
      <c r="F270" s="6" t="s">
        <v>27</v>
      </c>
      <c r="G270" s="9" t="s">
        <v>27</v>
      </c>
      <c r="I270" s="18"/>
    </row>
    <row r="271" spans="1:9" ht="13.2" thickBot="1">
      <c r="A271" s="7" t="s">
        <v>27</v>
      </c>
      <c r="B271" s="7" t="s">
        <v>27</v>
      </c>
      <c r="C271" s="7" t="s">
        <v>27</v>
      </c>
      <c r="D271" s="8" t="s">
        <v>27</v>
      </c>
      <c r="E271" s="19" t="s">
        <v>27</v>
      </c>
      <c r="F271" s="6" t="s">
        <v>27</v>
      </c>
      <c r="G271" s="9" t="s">
        <v>27</v>
      </c>
      <c r="I271" s="18"/>
    </row>
    <row r="272" spans="1:9" ht="13.2" thickBot="1">
      <c r="A272" s="7" t="s">
        <v>27</v>
      </c>
      <c r="B272" s="7" t="s">
        <v>27</v>
      </c>
      <c r="C272" s="7" t="s">
        <v>27</v>
      </c>
      <c r="D272" s="8" t="s">
        <v>27</v>
      </c>
      <c r="E272" s="19" t="s">
        <v>27</v>
      </c>
      <c r="F272" s="6" t="s">
        <v>27</v>
      </c>
      <c r="G272" s="9" t="s">
        <v>27</v>
      </c>
      <c r="I272" s="18"/>
    </row>
    <row r="273" spans="1:9" ht="13.2" thickBot="1">
      <c r="A273" s="7" t="s">
        <v>27</v>
      </c>
      <c r="B273" s="7" t="s">
        <v>27</v>
      </c>
      <c r="C273" s="7" t="s">
        <v>27</v>
      </c>
      <c r="D273" s="8" t="s">
        <v>27</v>
      </c>
      <c r="E273" s="19" t="s">
        <v>27</v>
      </c>
      <c r="F273" s="6" t="s">
        <v>27</v>
      </c>
      <c r="G273" s="9" t="s">
        <v>27</v>
      </c>
      <c r="I273" s="18"/>
    </row>
    <row r="274" spans="1:9" ht="13.2" thickBot="1">
      <c r="A274" s="7" t="s">
        <v>27</v>
      </c>
      <c r="B274" s="7" t="s">
        <v>27</v>
      </c>
      <c r="C274" s="7" t="s">
        <v>27</v>
      </c>
      <c r="D274" s="8" t="s">
        <v>27</v>
      </c>
      <c r="E274" s="19" t="s">
        <v>27</v>
      </c>
      <c r="F274" s="6" t="s">
        <v>27</v>
      </c>
      <c r="G274" s="9" t="s">
        <v>27</v>
      </c>
      <c r="I274" s="18"/>
    </row>
    <row r="275" spans="1:9" ht="13.2" thickBot="1">
      <c r="A275" s="7" t="s">
        <v>27</v>
      </c>
      <c r="B275" s="7" t="s">
        <v>27</v>
      </c>
      <c r="C275" s="7" t="s">
        <v>27</v>
      </c>
      <c r="D275" s="8" t="s">
        <v>27</v>
      </c>
      <c r="E275" s="19" t="s">
        <v>27</v>
      </c>
      <c r="F275" s="6" t="s">
        <v>27</v>
      </c>
      <c r="G275" s="9" t="s">
        <v>27</v>
      </c>
      <c r="I275" s="18"/>
    </row>
    <row r="276" spans="1:9" ht="13.2" thickBot="1">
      <c r="A276" s="7" t="s">
        <v>27</v>
      </c>
      <c r="B276" s="7" t="s">
        <v>27</v>
      </c>
      <c r="C276" s="7" t="s">
        <v>27</v>
      </c>
      <c r="D276" s="8" t="s">
        <v>27</v>
      </c>
      <c r="E276" s="19" t="s">
        <v>27</v>
      </c>
      <c r="F276" s="6" t="s">
        <v>27</v>
      </c>
      <c r="G276" s="9" t="s">
        <v>27</v>
      </c>
      <c r="I276" s="18"/>
    </row>
    <row r="277" spans="1:9" ht="13.2" thickBot="1">
      <c r="A277" s="7" t="s">
        <v>27</v>
      </c>
      <c r="B277" s="7" t="s">
        <v>27</v>
      </c>
      <c r="C277" s="7" t="s">
        <v>27</v>
      </c>
      <c r="D277" s="8" t="s">
        <v>27</v>
      </c>
      <c r="E277" s="19" t="s">
        <v>27</v>
      </c>
      <c r="F277" s="6" t="s">
        <v>27</v>
      </c>
      <c r="G277" s="9" t="s">
        <v>27</v>
      </c>
      <c r="I277" s="18"/>
    </row>
    <row r="278" spans="1:9" ht="13.2" thickBot="1">
      <c r="A278" s="7" t="s">
        <v>27</v>
      </c>
      <c r="B278" s="7" t="s">
        <v>27</v>
      </c>
      <c r="C278" s="7" t="s">
        <v>27</v>
      </c>
      <c r="D278" s="8" t="s">
        <v>27</v>
      </c>
      <c r="E278" s="19" t="s">
        <v>27</v>
      </c>
      <c r="F278" s="6" t="s">
        <v>27</v>
      </c>
      <c r="G278" s="9" t="s">
        <v>27</v>
      </c>
      <c r="I278" s="18"/>
    </row>
    <row r="279" spans="1:9" ht="13.2" thickBot="1">
      <c r="A279" s="7" t="s">
        <v>27</v>
      </c>
      <c r="B279" s="7" t="s">
        <v>27</v>
      </c>
      <c r="C279" s="7" t="s">
        <v>27</v>
      </c>
      <c r="D279" s="8" t="s">
        <v>27</v>
      </c>
      <c r="E279" s="19" t="s">
        <v>27</v>
      </c>
      <c r="F279" s="6" t="s">
        <v>27</v>
      </c>
      <c r="G279" s="9" t="s">
        <v>27</v>
      </c>
      <c r="I279" s="18"/>
    </row>
    <row r="280" spans="1:9" ht="13.2" thickBot="1">
      <c r="A280" s="7" t="s">
        <v>27</v>
      </c>
      <c r="B280" s="7" t="s">
        <v>27</v>
      </c>
      <c r="C280" s="7" t="s">
        <v>27</v>
      </c>
      <c r="D280" s="8" t="s">
        <v>27</v>
      </c>
      <c r="E280" s="19" t="s">
        <v>27</v>
      </c>
      <c r="F280" s="6" t="s">
        <v>27</v>
      </c>
      <c r="G280" s="9" t="s">
        <v>27</v>
      </c>
      <c r="I280" s="18"/>
    </row>
    <row r="281" spans="1:9" ht="13.2" thickBot="1">
      <c r="A281" s="7" t="s">
        <v>27</v>
      </c>
      <c r="B281" s="7" t="s">
        <v>27</v>
      </c>
      <c r="C281" s="7" t="s">
        <v>27</v>
      </c>
      <c r="D281" s="8" t="s">
        <v>27</v>
      </c>
      <c r="E281" s="19" t="s">
        <v>27</v>
      </c>
      <c r="F281" s="6" t="s">
        <v>27</v>
      </c>
      <c r="G281" s="9" t="s">
        <v>27</v>
      </c>
      <c r="I281" s="18"/>
    </row>
    <row r="282" spans="1:9" ht="13.2" thickBot="1">
      <c r="A282" s="7" t="s">
        <v>27</v>
      </c>
      <c r="B282" s="7" t="s">
        <v>27</v>
      </c>
      <c r="C282" s="7" t="s">
        <v>27</v>
      </c>
      <c r="D282" s="8" t="s">
        <v>27</v>
      </c>
      <c r="E282" s="19" t="s">
        <v>27</v>
      </c>
      <c r="F282" s="6" t="s">
        <v>27</v>
      </c>
      <c r="G282" s="9" t="s">
        <v>27</v>
      </c>
      <c r="I282" s="18"/>
    </row>
    <row r="283" spans="1:9" ht="13.2" thickBot="1">
      <c r="A283" s="7" t="s">
        <v>27</v>
      </c>
      <c r="B283" s="7" t="s">
        <v>27</v>
      </c>
      <c r="C283" s="7" t="s">
        <v>27</v>
      </c>
      <c r="D283" s="8" t="s">
        <v>27</v>
      </c>
      <c r="E283" s="19" t="s">
        <v>27</v>
      </c>
      <c r="F283" s="6" t="s">
        <v>27</v>
      </c>
      <c r="G283" s="9" t="s">
        <v>27</v>
      </c>
      <c r="I283" s="18"/>
    </row>
    <row r="284" spans="1:9" ht="13.2" thickBot="1">
      <c r="A284" s="7" t="s">
        <v>27</v>
      </c>
      <c r="B284" s="7" t="s">
        <v>27</v>
      </c>
      <c r="C284" s="7" t="s">
        <v>27</v>
      </c>
      <c r="D284" s="8" t="s">
        <v>27</v>
      </c>
      <c r="E284" s="19" t="s">
        <v>27</v>
      </c>
      <c r="F284" s="6" t="s">
        <v>27</v>
      </c>
      <c r="G284" s="9" t="s">
        <v>27</v>
      </c>
      <c r="I284" s="18"/>
    </row>
    <row r="285" spans="1:9" ht="13.2" thickBot="1">
      <c r="A285" s="7" t="s">
        <v>27</v>
      </c>
      <c r="B285" s="7" t="s">
        <v>27</v>
      </c>
      <c r="C285" s="7" t="s">
        <v>27</v>
      </c>
      <c r="D285" s="8" t="s">
        <v>27</v>
      </c>
      <c r="E285" s="19" t="s">
        <v>27</v>
      </c>
      <c r="F285" s="6" t="s">
        <v>27</v>
      </c>
      <c r="G285" s="9" t="s">
        <v>27</v>
      </c>
      <c r="I285" s="18"/>
    </row>
    <row r="286" spans="1:9" ht="13.2" thickBot="1">
      <c r="A286" s="7" t="s">
        <v>27</v>
      </c>
      <c r="B286" s="7" t="s">
        <v>27</v>
      </c>
      <c r="C286" s="7" t="s">
        <v>27</v>
      </c>
      <c r="D286" s="8" t="s">
        <v>27</v>
      </c>
      <c r="E286" s="19" t="s">
        <v>27</v>
      </c>
      <c r="F286" s="6" t="s">
        <v>27</v>
      </c>
      <c r="G286" s="9" t="s">
        <v>27</v>
      </c>
      <c r="I286" s="18"/>
    </row>
    <row r="287" spans="1:9" ht="13.2" thickBot="1">
      <c r="A287" s="7" t="s">
        <v>27</v>
      </c>
      <c r="B287" s="7" t="s">
        <v>27</v>
      </c>
      <c r="C287" s="7" t="s">
        <v>27</v>
      </c>
      <c r="D287" s="8" t="s">
        <v>27</v>
      </c>
      <c r="E287" s="19" t="s">
        <v>27</v>
      </c>
      <c r="F287" s="6" t="s">
        <v>27</v>
      </c>
      <c r="G287" s="9" t="s">
        <v>27</v>
      </c>
      <c r="I287" s="18"/>
    </row>
    <row r="288" spans="1:9" ht="13.2" thickBot="1">
      <c r="A288" s="7" t="s">
        <v>27</v>
      </c>
      <c r="B288" s="7" t="s">
        <v>27</v>
      </c>
      <c r="C288" s="7" t="s">
        <v>27</v>
      </c>
      <c r="D288" s="8" t="s">
        <v>27</v>
      </c>
      <c r="E288" s="19" t="s">
        <v>27</v>
      </c>
      <c r="F288" s="6" t="s">
        <v>27</v>
      </c>
      <c r="G288" s="9" t="s">
        <v>27</v>
      </c>
      <c r="I288" s="18"/>
    </row>
    <row r="289" spans="1:9" ht="13.2" thickBot="1">
      <c r="A289" s="7" t="s">
        <v>27</v>
      </c>
      <c r="B289" s="7" t="s">
        <v>27</v>
      </c>
      <c r="C289" s="7" t="s">
        <v>27</v>
      </c>
      <c r="D289" s="8" t="s">
        <v>27</v>
      </c>
      <c r="E289" s="19" t="s">
        <v>27</v>
      </c>
      <c r="F289" s="6" t="s">
        <v>27</v>
      </c>
      <c r="G289" s="9" t="s">
        <v>27</v>
      </c>
      <c r="I289" s="18"/>
    </row>
    <row r="290" spans="1:9" ht="13.2" thickBot="1">
      <c r="A290" s="7" t="s">
        <v>27</v>
      </c>
      <c r="B290" s="7" t="s">
        <v>27</v>
      </c>
      <c r="C290" s="7" t="s">
        <v>27</v>
      </c>
      <c r="D290" s="8" t="s">
        <v>27</v>
      </c>
      <c r="E290" s="19" t="s">
        <v>27</v>
      </c>
      <c r="F290" s="6" t="s">
        <v>27</v>
      </c>
      <c r="G290" s="9" t="s">
        <v>27</v>
      </c>
      <c r="I290" s="18"/>
    </row>
    <row r="291" spans="1:9" ht="13.2" thickBot="1">
      <c r="A291" s="7" t="s">
        <v>27</v>
      </c>
      <c r="B291" s="7" t="s">
        <v>27</v>
      </c>
      <c r="C291" s="7" t="s">
        <v>27</v>
      </c>
      <c r="D291" s="8" t="s">
        <v>27</v>
      </c>
      <c r="E291" s="19" t="s">
        <v>27</v>
      </c>
      <c r="F291" s="6" t="s">
        <v>27</v>
      </c>
      <c r="G291" s="9" t="s">
        <v>27</v>
      </c>
      <c r="I291" s="18"/>
    </row>
    <row r="292" spans="1:9" ht="13.2" thickBot="1">
      <c r="A292" s="7" t="s">
        <v>27</v>
      </c>
      <c r="B292" s="7" t="s">
        <v>27</v>
      </c>
      <c r="C292" s="7" t="s">
        <v>27</v>
      </c>
      <c r="D292" s="8" t="s">
        <v>27</v>
      </c>
      <c r="E292" s="19" t="s">
        <v>27</v>
      </c>
      <c r="F292" s="6" t="s">
        <v>27</v>
      </c>
      <c r="G292" s="9" t="s">
        <v>27</v>
      </c>
      <c r="I292" s="18"/>
    </row>
    <row r="293" spans="1:9" ht="13.2" thickBot="1">
      <c r="A293" s="7" t="s">
        <v>27</v>
      </c>
      <c r="B293" s="7" t="s">
        <v>27</v>
      </c>
      <c r="C293" s="7" t="s">
        <v>27</v>
      </c>
      <c r="D293" s="8" t="s">
        <v>27</v>
      </c>
      <c r="E293" s="19" t="s">
        <v>27</v>
      </c>
      <c r="F293" s="6" t="s">
        <v>27</v>
      </c>
      <c r="G293" s="9" t="s">
        <v>27</v>
      </c>
      <c r="I293" s="18"/>
    </row>
    <row r="294" spans="1:9" ht="13.2" thickBot="1">
      <c r="A294" s="7" t="s">
        <v>27</v>
      </c>
      <c r="B294" s="7" t="s">
        <v>27</v>
      </c>
      <c r="C294" s="7" t="s">
        <v>27</v>
      </c>
      <c r="D294" s="8" t="s">
        <v>27</v>
      </c>
      <c r="E294" s="19" t="s">
        <v>27</v>
      </c>
      <c r="F294" s="6" t="s">
        <v>27</v>
      </c>
      <c r="G294" s="9" t="s">
        <v>27</v>
      </c>
      <c r="I294" s="18"/>
    </row>
    <row r="295" spans="1:9" ht="13.2" thickBot="1">
      <c r="A295" s="7" t="s">
        <v>27</v>
      </c>
      <c r="B295" s="7" t="s">
        <v>27</v>
      </c>
      <c r="C295" s="7" t="s">
        <v>27</v>
      </c>
      <c r="D295" s="8" t="s">
        <v>27</v>
      </c>
      <c r="E295" s="19" t="s">
        <v>27</v>
      </c>
      <c r="F295" s="6" t="s">
        <v>27</v>
      </c>
      <c r="G295" s="9" t="s">
        <v>27</v>
      </c>
      <c r="I295" s="18"/>
    </row>
    <row r="296" spans="1:9" ht="13.2" thickBot="1">
      <c r="A296" s="7" t="s">
        <v>27</v>
      </c>
      <c r="B296" s="7" t="s">
        <v>27</v>
      </c>
      <c r="C296" s="7" t="s">
        <v>27</v>
      </c>
      <c r="D296" s="8" t="s">
        <v>27</v>
      </c>
      <c r="E296" s="19" t="s">
        <v>27</v>
      </c>
      <c r="F296" s="6" t="s">
        <v>27</v>
      </c>
      <c r="G296" s="9" t="s">
        <v>27</v>
      </c>
      <c r="I296" s="18"/>
    </row>
    <row r="297" spans="1:9" ht="13.2" thickBot="1">
      <c r="A297" s="7" t="s">
        <v>27</v>
      </c>
      <c r="B297" s="7" t="s">
        <v>27</v>
      </c>
      <c r="C297" s="7" t="s">
        <v>27</v>
      </c>
      <c r="D297" s="8" t="s">
        <v>27</v>
      </c>
      <c r="E297" s="19" t="s">
        <v>27</v>
      </c>
      <c r="F297" s="6" t="s">
        <v>27</v>
      </c>
      <c r="G297" s="9" t="s">
        <v>27</v>
      </c>
      <c r="I297" s="18"/>
    </row>
    <row r="298" spans="1:9" ht="13.2" thickBot="1">
      <c r="A298" s="7" t="s">
        <v>27</v>
      </c>
      <c r="B298" s="7" t="s">
        <v>27</v>
      </c>
      <c r="C298" s="7" t="s">
        <v>27</v>
      </c>
      <c r="D298" s="8" t="s">
        <v>27</v>
      </c>
      <c r="E298" s="19" t="s">
        <v>27</v>
      </c>
      <c r="F298" s="6" t="s">
        <v>27</v>
      </c>
      <c r="G298" s="9" t="s">
        <v>27</v>
      </c>
      <c r="I298" s="18"/>
    </row>
    <row r="299" spans="1:9" ht="13.2" thickBot="1">
      <c r="A299" s="7" t="s">
        <v>27</v>
      </c>
      <c r="B299" s="7" t="s">
        <v>27</v>
      </c>
      <c r="C299" s="7" t="s">
        <v>27</v>
      </c>
      <c r="D299" s="8" t="s">
        <v>27</v>
      </c>
      <c r="E299" s="19" t="s">
        <v>27</v>
      </c>
      <c r="F299" s="6" t="s">
        <v>27</v>
      </c>
      <c r="G299" s="9" t="s">
        <v>27</v>
      </c>
      <c r="I299" s="18"/>
    </row>
    <row r="300" spans="1:9" ht="13.2" thickBot="1">
      <c r="A300" s="7" t="s">
        <v>27</v>
      </c>
      <c r="B300" s="7" t="s">
        <v>27</v>
      </c>
      <c r="C300" s="7" t="s">
        <v>27</v>
      </c>
      <c r="D300" s="8" t="s">
        <v>27</v>
      </c>
      <c r="E300" s="19" t="s">
        <v>27</v>
      </c>
      <c r="F300" s="6" t="s">
        <v>27</v>
      </c>
      <c r="G300" s="9" t="s">
        <v>27</v>
      </c>
      <c r="I300" s="18"/>
    </row>
    <row r="301" spans="1:9" ht="13.2" thickBot="1">
      <c r="A301" s="7" t="s">
        <v>27</v>
      </c>
      <c r="B301" s="7" t="s">
        <v>27</v>
      </c>
      <c r="C301" s="7" t="s">
        <v>27</v>
      </c>
      <c r="D301" s="8" t="s">
        <v>27</v>
      </c>
      <c r="E301" s="19" t="s">
        <v>27</v>
      </c>
      <c r="F301" s="6" t="s">
        <v>27</v>
      </c>
      <c r="G301" s="9" t="s">
        <v>27</v>
      </c>
      <c r="I301" s="18"/>
    </row>
    <row r="302" spans="1:9" ht="13.2" thickBot="1">
      <c r="A302" s="7" t="s">
        <v>27</v>
      </c>
      <c r="B302" s="7" t="s">
        <v>27</v>
      </c>
      <c r="C302" s="7" t="s">
        <v>27</v>
      </c>
      <c r="D302" s="8" t="s">
        <v>27</v>
      </c>
      <c r="E302" s="19" t="s">
        <v>27</v>
      </c>
      <c r="F302" s="6" t="s">
        <v>27</v>
      </c>
      <c r="G302" s="9" t="s">
        <v>27</v>
      </c>
      <c r="I302" s="18"/>
    </row>
    <row r="303" spans="1:9" ht="13.2" thickBot="1">
      <c r="A303" s="7" t="s">
        <v>27</v>
      </c>
      <c r="B303" s="7" t="s">
        <v>27</v>
      </c>
      <c r="C303" s="7" t="s">
        <v>27</v>
      </c>
      <c r="D303" s="8" t="s">
        <v>27</v>
      </c>
      <c r="E303" s="19" t="s">
        <v>27</v>
      </c>
      <c r="F303" s="6" t="s">
        <v>27</v>
      </c>
      <c r="G303" s="9" t="s">
        <v>27</v>
      </c>
      <c r="I303" s="18"/>
    </row>
    <row r="304" spans="1:9" ht="13.2" thickBot="1">
      <c r="A304" s="7" t="s">
        <v>27</v>
      </c>
      <c r="B304" s="7" t="s">
        <v>27</v>
      </c>
      <c r="C304" s="7" t="s">
        <v>27</v>
      </c>
      <c r="D304" s="8" t="s">
        <v>27</v>
      </c>
      <c r="E304" s="19" t="s">
        <v>27</v>
      </c>
      <c r="F304" s="6" t="s">
        <v>27</v>
      </c>
      <c r="G304" s="9" t="s">
        <v>27</v>
      </c>
      <c r="I304" s="18"/>
    </row>
    <row r="305" spans="1:9" ht="13.2" thickBot="1">
      <c r="A305" s="7" t="s">
        <v>27</v>
      </c>
      <c r="B305" s="7" t="s">
        <v>27</v>
      </c>
      <c r="C305" s="7" t="s">
        <v>27</v>
      </c>
      <c r="D305" s="8" t="s">
        <v>27</v>
      </c>
      <c r="E305" s="19" t="s">
        <v>27</v>
      </c>
      <c r="F305" s="6" t="s">
        <v>27</v>
      </c>
      <c r="G305" s="9" t="s">
        <v>27</v>
      </c>
      <c r="I305" s="18"/>
    </row>
    <row r="306" spans="1:9" ht="13.2" thickBot="1">
      <c r="A306" s="7" t="s">
        <v>27</v>
      </c>
      <c r="B306" s="7" t="s">
        <v>27</v>
      </c>
      <c r="C306" s="7" t="s">
        <v>27</v>
      </c>
      <c r="D306" s="8" t="s">
        <v>27</v>
      </c>
      <c r="E306" s="19" t="s">
        <v>27</v>
      </c>
      <c r="F306" s="6" t="s">
        <v>27</v>
      </c>
      <c r="G306" s="9" t="s">
        <v>27</v>
      </c>
      <c r="I306" s="18"/>
    </row>
    <row r="307" spans="1:9" ht="13.2" thickBot="1">
      <c r="A307" s="7" t="s">
        <v>27</v>
      </c>
      <c r="B307" s="7" t="s">
        <v>27</v>
      </c>
      <c r="C307" s="7" t="s">
        <v>27</v>
      </c>
      <c r="D307" s="8" t="s">
        <v>27</v>
      </c>
      <c r="E307" s="19" t="s">
        <v>27</v>
      </c>
      <c r="F307" s="6" t="s">
        <v>27</v>
      </c>
      <c r="G307" s="9" t="s">
        <v>27</v>
      </c>
      <c r="I307" s="18"/>
    </row>
    <row r="308" spans="1:9" ht="13.2" thickBot="1">
      <c r="A308" s="7" t="s">
        <v>27</v>
      </c>
      <c r="B308" s="7" t="s">
        <v>27</v>
      </c>
      <c r="C308" s="7" t="s">
        <v>27</v>
      </c>
      <c r="D308" s="8" t="s">
        <v>27</v>
      </c>
      <c r="E308" s="19" t="s">
        <v>27</v>
      </c>
      <c r="F308" s="6" t="s">
        <v>27</v>
      </c>
      <c r="G308" s="9" t="s">
        <v>27</v>
      </c>
      <c r="I308" s="18"/>
    </row>
    <row r="309" spans="1:9" ht="13.2" thickBot="1">
      <c r="A309" s="7" t="s">
        <v>27</v>
      </c>
      <c r="B309" s="7" t="s">
        <v>27</v>
      </c>
      <c r="C309" s="7" t="s">
        <v>27</v>
      </c>
      <c r="D309" s="8" t="s">
        <v>27</v>
      </c>
      <c r="E309" s="19" t="s">
        <v>27</v>
      </c>
      <c r="F309" s="6" t="s">
        <v>27</v>
      </c>
      <c r="G309" s="9" t="s">
        <v>27</v>
      </c>
      <c r="I309" s="18"/>
    </row>
    <row r="310" spans="1:9" ht="13.2" thickBot="1">
      <c r="A310" s="7" t="s">
        <v>27</v>
      </c>
      <c r="B310" s="7" t="s">
        <v>27</v>
      </c>
      <c r="C310" s="7" t="s">
        <v>27</v>
      </c>
      <c r="D310" s="8" t="s">
        <v>27</v>
      </c>
      <c r="E310" s="19" t="s">
        <v>27</v>
      </c>
      <c r="F310" s="6" t="s">
        <v>27</v>
      </c>
      <c r="G310" s="9" t="s">
        <v>27</v>
      </c>
      <c r="I310" s="18"/>
    </row>
    <row r="311" spans="1:9" ht="13.2" thickBot="1">
      <c r="A311" s="7" t="s">
        <v>27</v>
      </c>
      <c r="B311" s="7" t="s">
        <v>27</v>
      </c>
      <c r="C311" s="7" t="s">
        <v>27</v>
      </c>
      <c r="D311" s="8" t="s">
        <v>27</v>
      </c>
      <c r="E311" s="19" t="s">
        <v>27</v>
      </c>
      <c r="F311" s="6" t="s">
        <v>27</v>
      </c>
      <c r="G311" s="9" t="s">
        <v>27</v>
      </c>
      <c r="I311" s="18"/>
    </row>
    <row r="312" spans="1:9" ht="13.2" thickBot="1">
      <c r="A312" s="7" t="s">
        <v>27</v>
      </c>
      <c r="B312" s="7" t="s">
        <v>27</v>
      </c>
      <c r="C312" s="7" t="s">
        <v>27</v>
      </c>
      <c r="D312" s="8" t="s">
        <v>27</v>
      </c>
      <c r="E312" s="19" t="s">
        <v>27</v>
      </c>
      <c r="F312" s="6" t="s">
        <v>27</v>
      </c>
      <c r="G312" s="9" t="s">
        <v>27</v>
      </c>
      <c r="I312" s="18"/>
    </row>
    <row r="313" spans="1:9" ht="13.2" thickBot="1">
      <c r="A313" s="7" t="s">
        <v>27</v>
      </c>
      <c r="B313" s="7" t="s">
        <v>27</v>
      </c>
      <c r="C313" s="7" t="s">
        <v>27</v>
      </c>
      <c r="D313" s="8" t="s">
        <v>27</v>
      </c>
      <c r="E313" s="19" t="s">
        <v>27</v>
      </c>
      <c r="F313" s="6" t="s">
        <v>27</v>
      </c>
      <c r="G313" s="9" t="s">
        <v>27</v>
      </c>
      <c r="I313" s="18"/>
    </row>
    <row r="314" spans="1:9" ht="13.2" thickBot="1">
      <c r="A314" s="7" t="s">
        <v>27</v>
      </c>
      <c r="B314" s="7" t="s">
        <v>27</v>
      </c>
      <c r="C314" s="7" t="s">
        <v>27</v>
      </c>
      <c r="D314" s="8" t="s">
        <v>27</v>
      </c>
      <c r="E314" s="19" t="s">
        <v>27</v>
      </c>
      <c r="F314" s="6" t="s">
        <v>27</v>
      </c>
      <c r="G314" s="9" t="s">
        <v>27</v>
      </c>
      <c r="I314" s="18"/>
    </row>
    <row r="315" spans="1:9" ht="13.2" thickBot="1">
      <c r="A315" s="7" t="s">
        <v>27</v>
      </c>
      <c r="B315" s="7" t="s">
        <v>27</v>
      </c>
      <c r="C315" s="7" t="s">
        <v>27</v>
      </c>
      <c r="D315" s="8" t="s">
        <v>27</v>
      </c>
      <c r="E315" s="19" t="s">
        <v>27</v>
      </c>
      <c r="F315" s="6" t="s">
        <v>27</v>
      </c>
      <c r="G315" s="9" t="s">
        <v>27</v>
      </c>
      <c r="I315" s="18"/>
    </row>
    <row r="316" spans="1:9" ht="13.2" thickBot="1">
      <c r="A316" s="7" t="s">
        <v>27</v>
      </c>
      <c r="B316" s="7" t="s">
        <v>27</v>
      </c>
      <c r="C316" s="7" t="s">
        <v>27</v>
      </c>
      <c r="D316" s="8" t="s">
        <v>27</v>
      </c>
      <c r="E316" s="19" t="s">
        <v>27</v>
      </c>
      <c r="F316" s="6" t="s">
        <v>27</v>
      </c>
      <c r="G316" s="9" t="s">
        <v>27</v>
      </c>
      <c r="I316" s="18"/>
    </row>
    <row r="317" spans="1:9" ht="13.2" thickBot="1">
      <c r="A317" s="7" t="s">
        <v>27</v>
      </c>
      <c r="B317" s="7" t="s">
        <v>27</v>
      </c>
      <c r="C317" s="7" t="s">
        <v>27</v>
      </c>
      <c r="D317" s="8" t="s">
        <v>27</v>
      </c>
      <c r="E317" s="19" t="s">
        <v>27</v>
      </c>
      <c r="F317" s="6" t="s">
        <v>27</v>
      </c>
      <c r="G317" s="9" t="s">
        <v>27</v>
      </c>
      <c r="I317" s="18"/>
    </row>
    <row r="318" spans="1:9" ht="13.2" thickBot="1">
      <c r="A318" s="7" t="s">
        <v>27</v>
      </c>
      <c r="B318" s="7" t="s">
        <v>27</v>
      </c>
      <c r="C318" s="7" t="s">
        <v>27</v>
      </c>
      <c r="D318" s="8" t="s">
        <v>27</v>
      </c>
      <c r="E318" s="19" t="s">
        <v>27</v>
      </c>
      <c r="F318" s="6" t="s">
        <v>27</v>
      </c>
      <c r="G318" s="9" t="s">
        <v>27</v>
      </c>
      <c r="I318" s="18"/>
    </row>
    <row r="319" spans="1:9" ht="13.2" thickBot="1">
      <c r="A319" s="7" t="s">
        <v>27</v>
      </c>
      <c r="B319" s="7" t="s">
        <v>27</v>
      </c>
      <c r="C319" s="7" t="s">
        <v>27</v>
      </c>
      <c r="D319" s="8" t="s">
        <v>27</v>
      </c>
      <c r="E319" s="19" t="s">
        <v>27</v>
      </c>
      <c r="F319" s="6" t="s">
        <v>27</v>
      </c>
      <c r="G319" s="9" t="s">
        <v>27</v>
      </c>
      <c r="I319" s="18"/>
    </row>
    <row r="320" spans="1:9" ht="13.2" thickBot="1">
      <c r="A320" s="7" t="s">
        <v>27</v>
      </c>
      <c r="B320" s="7" t="s">
        <v>27</v>
      </c>
      <c r="C320" s="7" t="s">
        <v>27</v>
      </c>
      <c r="D320" s="8" t="s">
        <v>27</v>
      </c>
      <c r="E320" s="19" t="s">
        <v>27</v>
      </c>
      <c r="F320" s="6" t="s">
        <v>27</v>
      </c>
      <c r="G320" s="9" t="s">
        <v>27</v>
      </c>
      <c r="I320" s="18"/>
    </row>
    <row r="321" spans="1:9" ht="13.2" thickBot="1">
      <c r="A321" s="7" t="s">
        <v>27</v>
      </c>
      <c r="B321" s="7" t="s">
        <v>27</v>
      </c>
      <c r="C321" s="7" t="s">
        <v>27</v>
      </c>
      <c r="D321" s="8" t="s">
        <v>27</v>
      </c>
      <c r="E321" s="19" t="s">
        <v>27</v>
      </c>
      <c r="F321" s="6" t="s">
        <v>27</v>
      </c>
      <c r="G321" s="9" t="s">
        <v>27</v>
      </c>
      <c r="I321" s="18"/>
    </row>
    <row r="322" spans="1:9" ht="13.2" thickBot="1">
      <c r="A322" s="7" t="s">
        <v>27</v>
      </c>
      <c r="B322" s="7" t="s">
        <v>27</v>
      </c>
      <c r="C322" s="7" t="s">
        <v>27</v>
      </c>
      <c r="D322" s="8" t="s">
        <v>27</v>
      </c>
      <c r="E322" s="19" t="s">
        <v>27</v>
      </c>
      <c r="F322" s="6" t="s">
        <v>27</v>
      </c>
      <c r="G322" s="9" t="s">
        <v>27</v>
      </c>
      <c r="I322" s="18"/>
    </row>
    <row r="323" spans="1:9" ht="13.2" thickBot="1">
      <c r="A323" s="7" t="s">
        <v>27</v>
      </c>
      <c r="B323" s="7" t="s">
        <v>27</v>
      </c>
      <c r="C323" s="7" t="s">
        <v>27</v>
      </c>
      <c r="D323" s="8" t="s">
        <v>27</v>
      </c>
      <c r="E323" s="19" t="s">
        <v>27</v>
      </c>
      <c r="F323" s="6" t="s">
        <v>27</v>
      </c>
      <c r="G323" s="9" t="s">
        <v>27</v>
      </c>
      <c r="I323" s="18"/>
    </row>
    <row r="324" spans="1:9" ht="13.2" thickBot="1">
      <c r="A324" s="7" t="s">
        <v>27</v>
      </c>
      <c r="B324" s="7" t="s">
        <v>27</v>
      </c>
      <c r="C324" s="7" t="s">
        <v>27</v>
      </c>
      <c r="D324" s="8" t="s">
        <v>27</v>
      </c>
      <c r="E324" s="19" t="s">
        <v>27</v>
      </c>
      <c r="F324" s="6" t="s">
        <v>27</v>
      </c>
      <c r="G324" s="9" t="s">
        <v>27</v>
      </c>
      <c r="I324" s="18"/>
    </row>
    <row r="325" spans="1:9" ht="13.2" thickBot="1">
      <c r="A325" s="7" t="s">
        <v>27</v>
      </c>
      <c r="B325" s="7" t="s">
        <v>27</v>
      </c>
      <c r="C325" s="7" t="s">
        <v>27</v>
      </c>
      <c r="D325" s="8" t="s">
        <v>27</v>
      </c>
      <c r="E325" s="19" t="s">
        <v>27</v>
      </c>
      <c r="F325" s="6" t="s">
        <v>27</v>
      </c>
      <c r="G325" s="9" t="s">
        <v>27</v>
      </c>
      <c r="I325" s="18"/>
    </row>
    <row r="326" spans="1:9" ht="13.2" thickBot="1">
      <c r="A326" s="7" t="s">
        <v>27</v>
      </c>
      <c r="B326" s="7" t="s">
        <v>27</v>
      </c>
      <c r="C326" s="7" t="s">
        <v>27</v>
      </c>
      <c r="D326" s="8" t="s">
        <v>27</v>
      </c>
      <c r="E326" s="19" t="s">
        <v>27</v>
      </c>
      <c r="F326" s="6" t="s">
        <v>27</v>
      </c>
      <c r="G326" s="9" t="s">
        <v>27</v>
      </c>
      <c r="I326" s="18"/>
    </row>
    <row r="327" spans="1:9" ht="13.2" thickBot="1">
      <c r="A327" s="7" t="s">
        <v>27</v>
      </c>
      <c r="B327" s="7" t="s">
        <v>27</v>
      </c>
      <c r="C327" s="7" t="s">
        <v>27</v>
      </c>
      <c r="D327" s="8" t="s">
        <v>27</v>
      </c>
      <c r="E327" s="19" t="s">
        <v>27</v>
      </c>
      <c r="F327" s="6" t="s">
        <v>27</v>
      </c>
      <c r="G327" s="9" t="s">
        <v>27</v>
      </c>
      <c r="I327" s="18"/>
    </row>
    <row r="328" spans="1:9" ht="13.2" thickBot="1">
      <c r="A328" s="7" t="s">
        <v>27</v>
      </c>
      <c r="B328" s="7" t="s">
        <v>27</v>
      </c>
      <c r="C328" s="7" t="s">
        <v>27</v>
      </c>
      <c r="D328" s="8" t="s">
        <v>27</v>
      </c>
      <c r="E328" s="19" t="s">
        <v>27</v>
      </c>
      <c r="F328" s="6" t="s">
        <v>27</v>
      </c>
      <c r="G328" s="9" t="s">
        <v>27</v>
      </c>
      <c r="I328" s="18"/>
    </row>
    <row r="329" spans="1:9" ht="13.2" thickBot="1">
      <c r="A329" s="7" t="s">
        <v>27</v>
      </c>
      <c r="B329" s="7" t="s">
        <v>27</v>
      </c>
      <c r="C329" s="7" t="s">
        <v>27</v>
      </c>
      <c r="D329" s="8" t="s">
        <v>27</v>
      </c>
      <c r="E329" s="19" t="s">
        <v>27</v>
      </c>
      <c r="F329" s="6" t="s">
        <v>27</v>
      </c>
      <c r="G329" s="9" t="s">
        <v>27</v>
      </c>
      <c r="I329" s="18"/>
    </row>
    <row r="330" spans="1:9" ht="13.2" thickBot="1">
      <c r="A330" s="7" t="s">
        <v>27</v>
      </c>
      <c r="B330" s="7" t="s">
        <v>27</v>
      </c>
      <c r="C330" s="7" t="s">
        <v>27</v>
      </c>
      <c r="D330" s="8" t="s">
        <v>27</v>
      </c>
      <c r="E330" s="19" t="s">
        <v>27</v>
      </c>
      <c r="F330" s="6" t="s">
        <v>27</v>
      </c>
      <c r="G330" s="9" t="s">
        <v>27</v>
      </c>
      <c r="I330" s="18"/>
    </row>
    <row r="331" spans="1:9" ht="13.2" thickBot="1">
      <c r="A331" s="7" t="s">
        <v>27</v>
      </c>
      <c r="B331" s="7" t="s">
        <v>27</v>
      </c>
      <c r="C331" s="7" t="s">
        <v>27</v>
      </c>
      <c r="D331" s="8" t="s">
        <v>27</v>
      </c>
      <c r="E331" s="19" t="s">
        <v>27</v>
      </c>
      <c r="F331" s="6" t="s">
        <v>27</v>
      </c>
      <c r="G331" s="9" t="s">
        <v>27</v>
      </c>
      <c r="I331" s="18"/>
    </row>
    <row r="332" spans="1:9" ht="13.2" thickBot="1">
      <c r="A332" s="7" t="s">
        <v>27</v>
      </c>
      <c r="B332" s="7" t="s">
        <v>27</v>
      </c>
      <c r="C332" s="7" t="s">
        <v>27</v>
      </c>
      <c r="D332" s="8" t="s">
        <v>27</v>
      </c>
      <c r="E332" s="19" t="s">
        <v>27</v>
      </c>
      <c r="F332" s="6" t="s">
        <v>27</v>
      </c>
      <c r="G332" s="9" t="s">
        <v>27</v>
      </c>
      <c r="I332" s="18"/>
    </row>
    <row r="333" spans="1:9" ht="13.2" thickBot="1">
      <c r="A333" s="7" t="s">
        <v>27</v>
      </c>
      <c r="B333" s="7" t="s">
        <v>27</v>
      </c>
      <c r="C333" s="7" t="s">
        <v>27</v>
      </c>
      <c r="D333" s="8" t="s">
        <v>27</v>
      </c>
      <c r="E333" s="19" t="s">
        <v>27</v>
      </c>
      <c r="F333" s="6" t="s">
        <v>27</v>
      </c>
      <c r="G333" s="9" t="s">
        <v>27</v>
      </c>
      <c r="I333" s="18"/>
    </row>
    <row r="334" spans="1:9" ht="13.2" thickBot="1">
      <c r="A334" s="7" t="s">
        <v>27</v>
      </c>
      <c r="B334" s="7" t="s">
        <v>27</v>
      </c>
      <c r="C334" s="7" t="s">
        <v>27</v>
      </c>
      <c r="D334" s="8" t="s">
        <v>27</v>
      </c>
      <c r="E334" s="19" t="s">
        <v>27</v>
      </c>
      <c r="F334" s="6" t="s">
        <v>27</v>
      </c>
      <c r="G334" s="9" t="s">
        <v>27</v>
      </c>
      <c r="I334" s="18"/>
    </row>
    <row r="335" spans="1:9" ht="13.2" thickBot="1">
      <c r="A335" s="7" t="s">
        <v>27</v>
      </c>
      <c r="B335" s="7" t="s">
        <v>27</v>
      </c>
      <c r="C335" s="7" t="s">
        <v>27</v>
      </c>
      <c r="D335" s="8" t="s">
        <v>27</v>
      </c>
      <c r="E335" s="19" t="s">
        <v>27</v>
      </c>
      <c r="F335" s="6" t="s">
        <v>27</v>
      </c>
      <c r="G335" s="9" t="s">
        <v>27</v>
      </c>
      <c r="I335" s="18"/>
    </row>
    <row r="336" spans="1:9" ht="13.2" thickBot="1">
      <c r="A336" s="7" t="s">
        <v>27</v>
      </c>
      <c r="B336" s="7" t="s">
        <v>27</v>
      </c>
      <c r="C336" s="7" t="s">
        <v>27</v>
      </c>
      <c r="D336" s="8" t="s">
        <v>27</v>
      </c>
      <c r="E336" s="19" t="s">
        <v>27</v>
      </c>
      <c r="F336" s="6" t="s">
        <v>27</v>
      </c>
      <c r="G336" s="9" t="s">
        <v>27</v>
      </c>
      <c r="I336" s="18"/>
    </row>
    <row r="337" spans="1:9" ht="13.2" thickBot="1">
      <c r="A337" s="7" t="s">
        <v>27</v>
      </c>
      <c r="B337" s="7" t="s">
        <v>27</v>
      </c>
      <c r="C337" s="7" t="s">
        <v>27</v>
      </c>
      <c r="D337" s="8" t="s">
        <v>27</v>
      </c>
      <c r="E337" s="19" t="s">
        <v>27</v>
      </c>
      <c r="F337" s="6" t="s">
        <v>27</v>
      </c>
      <c r="G337" s="9" t="s">
        <v>27</v>
      </c>
      <c r="I337" s="18"/>
    </row>
    <row r="338" spans="1:9" ht="13.2" thickBot="1">
      <c r="A338" s="7" t="s">
        <v>27</v>
      </c>
      <c r="B338" s="7" t="s">
        <v>27</v>
      </c>
      <c r="C338" s="7" t="s">
        <v>27</v>
      </c>
      <c r="D338" s="8" t="s">
        <v>27</v>
      </c>
      <c r="E338" s="19" t="s">
        <v>27</v>
      </c>
      <c r="F338" s="6" t="s">
        <v>27</v>
      </c>
      <c r="G338" s="9" t="s">
        <v>27</v>
      </c>
      <c r="I338" s="18"/>
    </row>
    <row r="339" spans="1:9" ht="13.2" thickBot="1">
      <c r="A339" s="7" t="s">
        <v>27</v>
      </c>
      <c r="B339" s="7" t="s">
        <v>27</v>
      </c>
      <c r="C339" s="7" t="s">
        <v>27</v>
      </c>
      <c r="D339" s="8" t="s">
        <v>27</v>
      </c>
      <c r="E339" s="19" t="s">
        <v>27</v>
      </c>
      <c r="F339" s="6" t="s">
        <v>27</v>
      </c>
      <c r="G339" s="9" t="s">
        <v>27</v>
      </c>
      <c r="I339" s="18"/>
    </row>
    <row r="340" spans="1:9" ht="13.2" thickBot="1">
      <c r="A340" s="7" t="s">
        <v>27</v>
      </c>
      <c r="B340" s="7" t="s">
        <v>27</v>
      </c>
      <c r="C340" s="7" t="s">
        <v>27</v>
      </c>
      <c r="D340" s="8" t="s">
        <v>27</v>
      </c>
      <c r="E340" s="19" t="s">
        <v>27</v>
      </c>
      <c r="F340" s="6" t="s">
        <v>27</v>
      </c>
      <c r="G340" s="9" t="s">
        <v>27</v>
      </c>
      <c r="I340" s="18"/>
    </row>
    <row r="341" spans="1:9" ht="13.2" thickBot="1">
      <c r="A341" s="7" t="s">
        <v>27</v>
      </c>
      <c r="B341" s="7" t="s">
        <v>27</v>
      </c>
      <c r="C341" s="7" t="s">
        <v>27</v>
      </c>
      <c r="D341" s="8" t="s">
        <v>27</v>
      </c>
      <c r="E341" s="19" t="s">
        <v>27</v>
      </c>
      <c r="F341" s="6" t="s">
        <v>27</v>
      </c>
      <c r="G341" s="9" t="s">
        <v>27</v>
      </c>
      <c r="I341" s="18"/>
    </row>
    <row r="342" spans="1:9" ht="13.2" thickBot="1">
      <c r="A342" s="7" t="s">
        <v>27</v>
      </c>
      <c r="B342" s="7" t="s">
        <v>27</v>
      </c>
      <c r="C342" s="7" t="s">
        <v>27</v>
      </c>
      <c r="D342" s="8" t="s">
        <v>27</v>
      </c>
      <c r="E342" s="19" t="s">
        <v>27</v>
      </c>
      <c r="F342" s="6" t="s">
        <v>27</v>
      </c>
      <c r="G342" s="9" t="s">
        <v>27</v>
      </c>
      <c r="I342" s="18"/>
    </row>
    <row r="343" spans="1:9" ht="13.2" thickBot="1">
      <c r="A343" s="7" t="s">
        <v>27</v>
      </c>
      <c r="B343" s="7" t="s">
        <v>27</v>
      </c>
      <c r="C343" s="7" t="s">
        <v>27</v>
      </c>
      <c r="D343" s="8" t="s">
        <v>27</v>
      </c>
      <c r="E343" s="19" t="s">
        <v>27</v>
      </c>
      <c r="F343" s="6" t="s">
        <v>27</v>
      </c>
      <c r="G343" s="9" t="s">
        <v>27</v>
      </c>
      <c r="I343" s="18"/>
    </row>
    <row r="344" spans="1:9" ht="13.2" thickBot="1">
      <c r="A344" s="7" t="s">
        <v>27</v>
      </c>
      <c r="B344" s="7" t="s">
        <v>27</v>
      </c>
      <c r="C344" s="7" t="s">
        <v>27</v>
      </c>
      <c r="D344" s="8" t="s">
        <v>27</v>
      </c>
      <c r="E344" s="19" t="s">
        <v>27</v>
      </c>
      <c r="F344" s="6" t="s">
        <v>27</v>
      </c>
      <c r="G344" s="9" t="s">
        <v>27</v>
      </c>
      <c r="I344" s="18"/>
    </row>
    <row r="345" spans="1:9" ht="13.2" thickBot="1">
      <c r="A345" s="7" t="s">
        <v>27</v>
      </c>
      <c r="B345" s="7" t="s">
        <v>27</v>
      </c>
      <c r="C345" s="7" t="s">
        <v>27</v>
      </c>
      <c r="D345" s="8" t="s">
        <v>27</v>
      </c>
      <c r="E345" s="19" t="s">
        <v>27</v>
      </c>
      <c r="F345" s="6" t="s">
        <v>27</v>
      </c>
      <c r="G345" s="9" t="s">
        <v>27</v>
      </c>
      <c r="I345" s="18"/>
    </row>
    <row r="346" spans="1:9" ht="13.2" thickBot="1">
      <c r="A346" s="7" t="s">
        <v>27</v>
      </c>
      <c r="B346" s="7" t="s">
        <v>27</v>
      </c>
      <c r="C346" s="7" t="s">
        <v>27</v>
      </c>
      <c r="D346" s="8" t="s">
        <v>27</v>
      </c>
      <c r="E346" s="19" t="s">
        <v>27</v>
      </c>
      <c r="F346" s="6" t="s">
        <v>27</v>
      </c>
      <c r="G346" s="9" t="s">
        <v>27</v>
      </c>
      <c r="I346" s="18"/>
    </row>
    <row r="347" spans="1:9" ht="13.2" thickBot="1">
      <c r="A347" s="7" t="s">
        <v>27</v>
      </c>
      <c r="B347" s="7" t="s">
        <v>27</v>
      </c>
      <c r="C347" s="7" t="s">
        <v>27</v>
      </c>
      <c r="D347" s="8" t="s">
        <v>27</v>
      </c>
      <c r="E347" s="19" t="s">
        <v>27</v>
      </c>
      <c r="F347" s="6" t="s">
        <v>27</v>
      </c>
      <c r="G347" s="9" t="s">
        <v>27</v>
      </c>
      <c r="I347" s="18"/>
    </row>
    <row r="348" spans="1:9" ht="13.2" thickBot="1">
      <c r="A348" s="7" t="s">
        <v>27</v>
      </c>
      <c r="B348" s="7" t="s">
        <v>27</v>
      </c>
      <c r="C348" s="7" t="s">
        <v>27</v>
      </c>
      <c r="D348" s="8" t="s">
        <v>27</v>
      </c>
      <c r="E348" s="19" t="s">
        <v>27</v>
      </c>
      <c r="F348" s="6" t="s">
        <v>27</v>
      </c>
      <c r="G348" s="9" t="s">
        <v>27</v>
      </c>
      <c r="I348" s="18"/>
    </row>
    <row r="349" spans="1:9" ht="13.2" thickBot="1">
      <c r="A349" s="7" t="s">
        <v>27</v>
      </c>
      <c r="B349" s="7" t="s">
        <v>27</v>
      </c>
      <c r="C349" s="7" t="s">
        <v>27</v>
      </c>
      <c r="D349" s="8" t="s">
        <v>27</v>
      </c>
      <c r="E349" s="19" t="s">
        <v>27</v>
      </c>
      <c r="F349" s="6" t="s">
        <v>27</v>
      </c>
      <c r="G349" s="9" t="s">
        <v>27</v>
      </c>
      <c r="I349" s="18"/>
    </row>
    <row r="350" spans="1:9" ht="13.2" thickBot="1">
      <c r="A350" s="7" t="s">
        <v>27</v>
      </c>
      <c r="B350" s="7" t="s">
        <v>27</v>
      </c>
      <c r="C350" s="7" t="s">
        <v>27</v>
      </c>
      <c r="D350" s="8" t="s">
        <v>27</v>
      </c>
      <c r="E350" s="19" t="s">
        <v>27</v>
      </c>
      <c r="F350" s="6" t="s">
        <v>27</v>
      </c>
      <c r="G350" s="9" t="s">
        <v>27</v>
      </c>
      <c r="I350" s="18"/>
    </row>
    <row r="351" spans="1:9" ht="13.2" thickBot="1">
      <c r="A351" s="7" t="s">
        <v>27</v>
      </c>
      <c r="B351" s="7" t="s">
        <v>27</v>
      </c>
      <c r="C351" s="7" t="s">
        <v>27</v>
      </c>
      <c r="D351" s="8" t="s">
        <v>27</v>
      </c>
      <c r="E351" s="19" t="s">
        <v>27</v>
      </c>
      <c r="F351" s="6" t="s">
        <v>27</v>
      </c>
      <c r="G351" s="9" t="s">
        <v>27</v>
      </c>
      <c r="I351" s="18"/>
    </row>
    <row r="352" spans="1:9" ht="13.2" thickBot="1">
      <c r="A352" s="7" t="s">
        <v>27</v>
      </c>
      <c r="B352" s="7" t="s">
        <v>27</v>
      </c>
      <c r="C352" s="7" t="s">
        <v>27</v>
      </c>
      <c r="D352" s="8" t="s">
        <v>27</v>
      </c>
      <c r="E352" s="19" t="s">
        <v>27</v>
      </c>
      <c r="F352" s="6" t="s">
        <v>27</v>
      </c>
      <c r="G352" s="9" t="s">
        <v>27</v>
      </c>
      <c r="I352" s="18"/>
    </row>
    <row r="353" spans="1:9" ht="13.2" thickBot="1">
      <c r="A353" s="7" t="s">
        <v>27</v>
      </c>
      <c r="B353" s="7" t="s">
        <v>27</v>
      </c>
      <c r="C353" s="7" t="s">
        <v>27</v>
      </c>
      <c r="D353" s="8" t="s">
        <v>27</v>
      </c>
      <c r="E353" s="19" t="s">
        <v>27</v>
      </c>
      <c r="F353" s="6" t="s">
        <v>27</v>
      </c>
      <c r="G353" s="9" t="s">
        <v>27</v>
      </c>
      <c r="I353" s="18"/>
    </row>
    <row r="354" spans="1:9" ht="13.2" thickBot="1">
      <c r="A354" s="7" t="s">
        <v>27</v>
      </c>
      <c r="B354" s="7" t="s">
        <v>27</v>
      </c>
      <c r="C354" s="7" t="s">
        <v>27</v>
      </c>
      <c r="D354" s="8" t="s">
        <v>27</v>
      </c>
      <c r="E354" s="19" t="s">
        <v>27</v>
      </c>
      <c r="F354" s="6" t="s">
        <v>27</v>
      </c>
      <c r="G354" s="9" t="s">
        <v>27</v>
      </c>
      <c r="I354" s="18"/>
    </row>
    <row r="355" spans="1:9" ht="13.2" thickBot="1">
      <c r="A355" s="7" t="s">
        <v>27</v>
      </c>
      <c r="B355" s="7" t="s">
        <v>27</v>
      </c>
      <c r="C355" s="7" t="s">
        <v>27</v>
      </c>
      <c r="D355" s="8" t="s">
        <v>27</v>
      </c>
      <c r="E355" s="19" t="s">
        <v>27</v>
      </c>
      <c r="F355" s="6" t="s">
        <v>27</v>
      </c>
      <c r="G355" s="9" t="s">
        <v>27</v>
      </c>
      <c r="I355" s="18"/>
    </row>
    <row r="356" spans="1:9" ht="13.2" thickBot="1">
      <c r="A356" s="7" t="s">
        <v>27</v>
      </c>
      <c r="B356" s="7" t="s">
        <v>27</v>
      </c>
      <c r="C356" s="7" t="s">
        <v>27</v>
      </c>
      <c r="D356" s="8" t="s">
        <v>27</v>
      </c>
      <c r="E356" s="19" t="s">
        <v>27</v>
      </c>
      <c r="F356" s="6" t="s">
        <v>27</v>
      </c>
      <c r="G356" s="9" t="s">
        <v>27</v>
      </c>
      <c r="I356" s="18"/>
    </row>
    <row r="357" spans="1:9" ht="13.2" thickBot="1">
      <c r="A357" s="7" t="s">
        <v>27</v>
      </c>
      <c r="B357" s="7" t="s">
        <v>27</v>
      </c>
      <c r="C357" s="7" t="s">
        <v>27</v>
      </c>
      <c r="D357" s="8" t="s">
        <v>27</v>
      </c>
      <c r="E357" s="19" t="s">
        <v>27</v>
      </c>
      <c r="F357" s="6" t="s">
        <v>27</v>
      </c>
      <c r="G357" s="9" t="s">
        <v>27</v>
      </c>
      <c r="I357" s="18"/>
    </row>
    <row r="358" spans="1:9" ht="13.2" thickBot="1">
      <c r="A358" s="7" t="s">
        <v>27</v>
      </c>
      <c r="B358" s="7" t="s">
        <v>27</v>
      </c>
      <c r="C358" s="7" t="s">
        <v>27</v>
      </c>
      <c r="D358" s="8" t="s">
        <v>27</v>
      </c>
      <c r="E358" s="19" t="s">
        <v>27</v>
      </c>
      <c r="F358" s="6" t="s">
        <v>27</v>
      </c>
      <c r="G358" s="9" t="s">
        <v>27</v>
      </c>
      <c r="I358" s="18"/>
    </row>
    <row r="359" spans="1:9" ht="13.2" thickBot="1">
      <c r="A359" s="7" t="s">
        <v>27</v>
      </c>
      <c r="B359" s="7" t="s">
        <v>27</v>
      </c>
      <c r="C359" s="7" t="s">
        <v>27</v>
      </c>
      <c r="D359" s="8" t="s">
        <v>27</v>
      </c>
      <c r="E359" s="19" t="s">
        <v>27</v>
      </c>
      <c r="F359" s="6" t="s">
        <v>27</v>
      </c>
      <c r="G359" s="9" t="s">
        <v>27</v>
      </c>
      <c r="I359" s="18"/>
    </row>
    <row r="360" spans="1:9" ht="13.2" thickBot="1">
      <c r="A360" s="7" t="s">
        <v>27</v>
      </c>
      <c r="B360" s="7" t="s">
        <v>27</v>
      </c>
      <c r="C360" s="7" t="s">
        <v>27</v>
      </c>
      <c r="D360" s="8" t="s">
        <v>27</v>
      </c>
      <c r="E360" s="19" t="s">
        <v>27</v>
      </c>
      <c r="F360" s="6" t="s">
        <v>27</v>
      </c>
      <c r="G360" s="9" t="s">
        <v>27</v>
      </c>
      <c r="I360" s="18"/>
    </row>
    <row r="361" spans="1:9" ht="13.2" thickBot="1">
      <c r="A361" s="7" t="s">
        <v>27</v>
      </c>
      <c r="B361" s="7" t="s">
        <v>27</v>
      </c>
      <c r="C361" s="7" t="s">
        <v>27</v>
      </c>
      <c r="D361" s="8" t="s">
        <v>27</v>
      </c>
      <c r="E361" s="19" t="s">
        <v>27</v>
      </c>
      <c r="F361" s="6" t="s">
        <v>27</v>
      </c>
      <c r="G361" s="9" t="s">
        <v>27</v>
      </c>
      <c r="I361" s="18"/>
    </row>
    <row r="362" spans="1:9" ht="13.2" thickBot="1">
      <c r="A362" s="7" t="s">
        <v>27</v>
      </c>
      <c r="B362" s="7" t="s">
        <v>27</v>
      </c>
      <c r="C362" s="7" t="s">
        <v>27</v>
      </c>
      <c r="D362" s="8" t="s">
        <v>27</v>
      </c>
      <c r="E362" s="19" t="s">
        <v>27</v>
      </c>
      <c r="F362" s="6" t="s">
        <v>27</v>
      </c>
      <c r="G362" s="9" t="s">
        <v>27</v>
      </c>
      <c r="I362" s="18"/>
    </row>
    <row r="363" spans="1:9" ht="13.2" thickBot="1">
      <c r="A363" s="7" t="s">
        <v>27</v>
      </c>
      <c r="B363" s="7" t="s">
        <v>27</v>
      </c>
      <c r="C363" s="7" t="s">
        <v>27</v>
      </c>
      <c r="D363" s="8" t="s">
        <v>27</v>
      </c>
      <c r="E363" s="19" t="s">
        <v>27</v>
      </c>
      <c r="F363" s="6" t="s">
        <v>27</v>
      </c>
      <c r="G363" s="9" t="s">
        <v>27</v>
      </c>
      <c r="I363" s="18"/>
    </row>
    <row r="364" spans="1:9" ht="13.2" thickBot="1">
      <c r="A364" s="7" t="s">
        <v>27</v>
      </c>
      <c r="B364" s="7" t="s">
        <v>27</v>
      </c>
      <c r="C364" s="7" t="s">
        <v>27</v>
      </c>
      <c r="D364" s="8" t="s">
        <v>27</v>
      </c>
      <c r="E364" s="19" t="s">
        <v>27</v>
      </c>
      <c r="F364" s="6" t="s">
        <v>27</v>
      </c>
      <c r="G364" s="9" t="s">
        <v>27</v>
      </c>
      <c r="I364" s="18"/>
    </row>
    <row r="365" spans="1:9" ht="13.2" thickBot="1">
      <c r="A365" s="7" t="s">
        <v>27</v>
      </c>
      <c r="B365" s="7" t="s">
        <v>27</v>
      </c>
      <c r="C365" s="7" t="s">
        <v>27</v>
      </c>
      <c r="D365" s="8" t="s">
        <v>27</v>
      </c>
      <c r="E365" s="19" t="s">
        <v>27</v>
      </c>
      <c r="F365" s="6" t="s">
        <v>27</v>
      </c>
      <c r="G365" s="9" t="s">
        <v>27</v>
      </c>
      <c r="I365" s="18"/>
    </row>
    <row r="366" spans="1:9" ht="13.2" thickBot="1">
      <c r="A366" s="7" t="s">
        <v>27</v>
      </c>
      <c r="B366" s="7" t="s">
        <v>27</v>
      </c>
      <c r="C366" s="7" t="s">
        <v>27</v>
      </c>
      <c r="D366" s="8" t="s">
        <v>27</v>
      </c>
      <c r="E366" s="19" t="s">
        <v>27</v>
      </c>
      <c r="F366" s="6" t="s">
        <v>27</v>
      </c>
      <c r="G366" s="9" t="s">
        <v>27</v>
      </c>
      <c r="I366" s="18"/>
    </row>
    <row r="367" spans="1:9" ht="13.2" thickBot="1">
      <c r="A367" s="7" t="s">
        <v>27</v>
      </c>
      <c r="B367" s="7" t="s">
        <v>27</v>
      </c>
      <c r="C367" s="7" t="s">
        <v>27</v>
      </c>
      <c r="D367" s="8" t="s">
        <v>27</v>
      </c>
      <c r="E367" s="19" t="s">
        <v>27</v>
      </c>
      <c r="F367" s="6" t="s">
        <v>27</v>
      </c>
      <c r="G367" s="9" t="s">
        <v>27</v>
      </c>
      <c r="I367" s="18"/>
    </row>
    <row r="368" spans="1:9" ht="13.2" thickBot="1">
      <c r="A368" s="7" t="s">
        <v>27</v>
      </c>
      <c r="B368" s="7" t="s">
        <v>27</v>
      </c>
      <c r="C368" s="7" t="s">
        <v>27</v>
      </c>
      <c r="D368" s="8" t="s">
        <v>27</v>
      </c>
      <c r="E368" s="19" t="s">
        <v>27</v>
      </c>
      <c r="F368" s="6" t="s">
        <v>27</v>
      </c>
      <c r="G368" s="9" t="s">
        <v>27</v>
      </c>
      <c r="I368" s="18"/>
    </row>
    <row r="369" spans="1:9" ht="13.2" thickBot="1">
      <c r="A369" s="7" t="s">
        <v>27</v>
      </c>
      <c r="B369" s="7" t="s">
        <v>27</v>
      </c>
      <c r="C369" s="7" t="s">
        <v>27</v>
      </c>
      <c r="D369" s="8" t="s">
        <v>27</v>
      </c>
      <c r="E369" s="19" t="s">
        <v>27</v>
      </c>
      <c r="F369" s="6" t="s">
        <v>27</v>
      </c>
      <c r="G369" s="9" t="s">
        <v>27</v>
      </c>
      <c r="I369" s="18"/>
    </row>
    <row r="370" spans="1:9" ht="13.2" thickBot="1">
      <c r="A370" s="7" t="s">
        <v>27</v>
      </c>
      <c r="B370" s="7" t="s">
        <v>27</v>
      </c>
      <c r="C370" s="7" t="s">
        <v>27</v>
      </c>
      <c r="D370" s="8" t="s">
        <v>27</v>
      </c>
      <c r="E370" s="19" t="s">
        <v>27</v>
      </c>
      <c r="F370" s="6" t="s">
        <v>27</v>
      </c>
      <c r="G370" s="9" t="s">
        <v>27</v>
      </c>
      <c r="I370" s="18"/>
    </row>
    <row r="371" spans="1:9" ht="13.2" thickBot="1">
      <c r="A371" s="7" t="s">
        <v>27</v>
      </c>
      <c r="B371" s="7" t="s">
        <v>27</v>
      </c>
      <c r="C371" s="7" t="s">
        <v>27</v>
      </c>
      <c r="D371" s="8" t="s">
        <v>27</v>
      </c>
      <c r="E371" s="19" t="s">
        <v>27</v>
      </c>
      <c r="F371" s="6" t="s">
        <v>27</v>
      </c>
      <c r="G371" s="9" t="s">
        <v>27</v>
      </c>
      <c r="I371" s="18"/>
    </row>
    <row r="372" spans="1:9" ht="13.2" thickBot="1">
      <c r="A372" s="7" t="s">
        <v>27</v>
      </c>
      <c r="B372" s="7" t="s">
        <v>27</v>
      </c>
      <c r="C372" s="7" t="s">
        <v>27</v>
      </c>
      <c r="D372" s="8" t="s">
        <v>27</v>
      </c>
      <c r="E372" s="19" t="s">
        <v>27</v>
      </c>
      <c r="F372" s="6" t="s">
        <v>27</v>
      </c>
      <c r="G372" s="9" t="s">
        <v>27</v>
      </c>
      <c r="I372" s="18"/>
    </row>
    <row r="373" spans="1:9" ht="13.2" thickBot="1">
      <c r="A373" s="7" t="s">
        <v>27</v>
      </c>
      <c r="B373" s="7" t="s">
        <v>27</v>
      </c>
      <c r="C373" s="7" t="s">
        <v>27</v>
      </c>
      <c r="D373" s="8" t="s">
        <v>27</v>
      </c>
      <c r="E373" s="19" t="s">
        <v>27</v>
      </c>
      <c r="F373" s="6" t="s">
        <v>27</v>
      </c>
      <c r="G373" s="9" t="s">
        <v>27</v>
      </c>
      <c r="I373" s="18"/>
    </row>
    <row r="374" spans="1:9" ht="13.2" thickBot="1">
      <c r="A374" s="7" t="s">
        <v>27</v>
      </c>
      <c r="B374" s="7" t="s">
        <v>27</v>
      </c>
      <c r="C374" s="7" t="s">
        <v>27</v>
      </c>
      <c r="D374" s="8" t="s">
        <v>27</v>
      </c>
      <c r="E374" s="19" t="s">
        <v>27</v>
      </c>
      <c r="F374" s="6" t="s">
        <v>27</v>
      </c>
      <c r="G374" s="9" t="s">
        <v>27</v>
      </c>
      <c r="I374" s="18"/>
    </row>
    <row r="375" spans="1:9" ht="13.2" thickBot="1">
      <c r="A375" s="7" t="s">
        <v>27</v>
      </c>
      <c r="B375" s="7" t="s">
        <v>27</v>
      </c>
      <c r="C375" s="7" t="s">
        <v>27</v>
      </c>
      <c r="D375" s="8" t="s">
        <v>27</v>
      </c>
      <c r="E375" s="19" t="s">
        <v>27</v>
      </c>
      <c r="F375" s="6" t="s">
        <v>27</v>
      </c>
      <c r="G375" s="9" t="s">
        <v>27</v>
      </c>
      <c r="I375" s="18"/>
    </row>
    <row r="376" spans="1:9" ht="13.2" thickBot="1">
      <c r="A376" s="7" t="s">
        <v>27</v>
      </c>
      <c r="B376" s="7" t="s">
        <v>27</v>
      </c>
      <c r="C376" s="7" t="s">
        <v>27</v>
      </c>
      <c r="D376" s="8" t="s">
        <v>27</v>
      </c>
      <c r="E376" s="19" t="s">
        <v>27</v>
      </c>
      <c r="F376" s="6" t="s">
        <v>27</v>
      </c>
      <c r="G376" s="9" t="s">
        <v>27</v>
      </c>
      <c r="I376" s="18"/>
    </row>
    <row r="377" spans="1:9" ht="13.2" thickBot="1">
      <c r="A377" s="7" t="s">
        <v>27</v>
      </c>
      <c r="B377" s="7" t="s">
        <v>27</v>
      </c>
      <c r="C377" s="7" t="s">
        <v>27</v>
      </c>
      <c r="D377" s="8" t="s">
        <v>27</v>
      </c>
      <c r="E377" s="19" t="s">
        <v>27</v>
      </c>
      <c r="F377" s="6" t="s">
        <v>27</v>
      </c>
      <c r="G377" s="9" t="s">
        <v>27</v>
      </c>
      <c r="I377" s="18"/>
    </row>
    <row r="378" spans="1:9" ht="13.2" thickBot="1">
      <c r="A378" s="7" t="s">
        <v>27</v>
      </c>
      <c r="B378" s="7" t="s">
        <v>27</v>
      </c>
      <c r="C378" s="7" t="s">
        <v>27</v>
      </c>
      <c r="D378" s="8" t="s">
        <v>27</v>
      </c>
      <c r="E378" s="19" t="s">
        <v>27</v>
      </c>
      <c r="F378" s="6" t="s">
        <v>27</v>
      </c>
      <c r="G378" s="9" t="s">
        <v>27</v>
      </c>
      <c r="I378" s="18"/>
    </row>
    <row r="379" spans="1:9" ht="13.2" thickBot="1">
      <c r="A379" s="7" t="s">
        <v>27</v>
      </c>
      <c r="B379" s="7" t="s">
        <v>27</v>
      </c>
      <c r="C379" s="7" t="s">
        <v>27</v>
      </c>
      <c r="D379" s="8" t="s">
        <v>27</v>
      </c>
      <c r="E379" s="19" t="s">
        <v>27</v>
      </c>
      <c r="F379" s="6" t="s">
        <v>27</v>
      </c>
      <c r="G379" s="9" t="s">
        <v>27</v>
      </c>
      <c r="I379" s="18"/>
    </row>
    <row r="380" spans="1:9" ht="13.2" thickBot="1">
      <c r="A380" s="7" t="s">
        <v>27</v>
      </c>
      <c r="B380" s="7" t="s">
        <v>27</v>
      </c>
      <c r="C380" s="7" t="s">
        <v>27</v>
      </c>
      <c r="D380" s="8" t="s">
        <v>27</v>
      </c>
      <c r="E380" s="19" t="s">
        <v>27</v>
      </c>
      <c r="F380" s="6" t="s">
        <v>27</v>
      </c>
      <c r="G380" s="9" t="s">
        <v>27</v>
      </c>
      <c r="I380" s="18"/>
    </row>
    <row r="381" spans="1:9" ht="13.2" thickBot="1">
      <c r="A381" s="7" t="s">
        <v>27</v>
      </c>
      <c r="B381" s="7" t="s">
        <v>27</v>
      </c>
      <c r="C381" s="7" t="s">
        <v>27</v>
      </c>
      <c r="D381" s="8" t="s">
        <v>27</v>
      </c>
      <c r="E381" s="19" t="s">
        <v>27</v>
      </c>
      <c r="F381" s="6" t="s">
        <v>27</v>
      </c>
      <c r="G381" s="9" t="s">
        <v>27</v>
      </c>
      <c r="I381" s="18"/>
    </row>
    <row r="382" spans="1:9" ht="13.2" thickBot="1">
      <c r="A382" s="7" t="s">
        <v>27</v>
      </c>
      <c r="B382" s="7" t="s">
        <v>27</v>
      </c>
      <c r="C382" s="7" t="s">
        <v>27</v>
      </c>
      <c r="D382" s="8" t="s">
        <v>27</v>
      </c>
      <c r="E382" s="19" t="s">
        <v>27</v>
      </c>
      <c r="F382" s="6" t="s">
        <v>27</v>
      </c>
      <c r="G382" s="9" t="s">
        <v>27</v>
      </c>
      <c r="I382" s="18"/>
    </row>
    <row r="383" spans="1:9" ht="13.2" thickBot="1">
      <c r="A383" s="7" t="s">
        <v>27</v>
      </c>
      <c r="B383" s="7" t="s">
        <v>27</v>
      </c>
      <c r="C383" s="7" t="s">
        <v>27</v>
      </c>
      <c r="D383" s="8" t="s">
        <v>27</v>
      </c>
      <c r="E383" s="19" t="s">
        <v>27</v>
      </c>
      <c r="F383" s="6" t="s">
        <v>27</v>
      </c>
      <c r="G383" s="9" t="s">
        <v>27</v>
      </c>
      <c r="I383" s="18"/>
    </row>
    <row r="384" spans="1:9" ht="13.2" thickBot="1">
      <c r="A384" s="7" t="s">
        <v>27</v>
      </c>
      <c r="B384" s="7" t="s">
        <v>27</v>
      </c>
      <c r="C384" s="7" t="s">
        <v>27</v>
      </c>
      <c r="D384" s="8" t="s">
        <v>27</v>
      </c>
      <c r="E384" s="19" t="s">
        <v>27</v>
      </c>
      <c r="F384" s="6" t="s">
        <v>27</v>
      </c>
      <c r="G384" s="9" t="s">
        <v>27</v>
      </c>
      <c r="I384" s="18"/>
    </row>
    <row r="385" spans="1:9" ht="13.2" thickBot="1">
      <c r="A385" s="7" t="s">
        <v>27</v>
      </c>
      <c r="B385" s="7" t="s">
        <v>27</v>
      </c>
      <c r="C385" s="7" t="s">
        <v>27</v>
      </c>
      <c r="D385" s="8" t="s">
        <v>27</v>
      </c>
      <c r="E385" s="19" t="s">
        <v>27</v>
      </c>
      <c r="F385" s="6" t="s">
        <v>27</v>
      </c>
      <c r="G385" s="9" t="s">
        <v>27</v>
      </c>
      <c r="I385" s="18"/>
    </row>
    <row r="386" spans="1:9" ht="13.2" thickBot="1">
      <c r="A386" s="7" t="s">
        <v>27</v>
      </c>
      <c r="B386" s="7" t="s">
        <v>27</v>
      </c>
      <c r="C386" s="7" t="s">
        <v>27</v>
      </c>
      <c r="D386" s="8" t="s">
        <v>27</v>
      </c>
      <c r="E386" s="19" t="s">
        <v>27</v>
      </c>
      <c r="F386" s="6" t="s">
        <v>27</v>
      </c>
      <c r="G386" s="9" t="s">
        <v>27</v>
      </c>
      <c r="I386" s="18"/>
    </row>
    <row r="387" spans="1:9" ht="13.2" thickBot="1">
      <c r="A387" s="7" t="s">
        <v>27</v>
      </c>
      <c r="B387" s="7" t="s">
        <v>27</v>
      </c>
      <c r="C387" s="7" t="s">
        <v>27</v>
      </c>
      <c r="D387" s="8" t="s">
        <v>27</v>
      </c>
      <c r="E387" s="19" t="s">
        <v>27</v>
      </c>
      <c r="F387" s="6" t="s">
        <v>27</v>
      </c>
      <c r="G387" s="9" t="s">
        <v>27</v>
      </c>
      <c r="I387" s="18"/>
    </row>
    <row r="388" spans="1:9" ht="13.2" thickBot="1">
      <c r="A388" s="7" t="s">
        <v>27</v>
      </c>
      <c r="B388" s="7" t="s">
        <v>27</v>
      </c>
      <c r="C388" s="7" t="s">
        <v>27</v>
      </c>
      <c r="D388" s="8" t="s">
        <v>27</v>
      </c>
      <c r="E388" s="19" t="s">
        <v>27</v>
      </c>
      <c r="F388" s="6" t="s">
        <v>27</v>
      </c>
      <c r="G388" s="9" t="s">
        <v>27</v>
      </c>
      <c r="I388" s="18"/>
    </row>
    <row r="389" spans="1:9" ht="13.2" thickBot="1">
      <c r="A389" s="7" t="s">
        <v>27</v>
      </c>
      <c r="B389" s="7" t="s">
        <v>27</v>
      </c>
      <c r="C389" s="7" t="s">
        <v>27</v>
      </c>
      <c r="D389" s="8" t="s">
        <v>27</v>
      </c>
      <c r="E389" s="19" t="s">
        <v>27</v>
      </c>
      <c r="F389" s="6" t="s">
        <v>27</v>
      </c>
      <c r="G389" s="9" t="s">
        <v>27</v>
      </c>
      <c r="I389" s="18"/>
    </row>
    <row r="390" spans="1:9" ht="13.2" thickBot="1">
      <c r="A390" s="7" t="s">
        <v>27</v>
      </c>
      <c r="B390" s="7" t="s">
        <v>27</v>
      </c>
      <c r="C390" s="7" t="s">
        <v>27</v>
      </c>
      <c r="D390" s="8" t="s">
        <v>27</v>
      </c>
      <c r="E390" s="19" t="s">
        <v>27</v>
      </c>
      <c r="F390" s="6" t="s">
        <v>27</v>
      </c>
      <c r="G390" s="9" t="s">
        <v>27</v>
      </c>
      <c r="I390" s="18"/>
    </row>
    <row r="391" spans="1:9" ht="13.2" thickBot="1">
      <c r="A391" s="7" t="s">
        <v>27</v>
      </c>
      <c r="B391" s="7" t="s">
        <v>27</v>
      </c>
      <c r="C391" s="7" t="s">
        <v>27</v>
      </c>
      <c r="D391" s="8" t="s">
        <v>27</v>
      </c>
      <c r="E391" s="19" t="s">
        <v>27</v>
      </c>
      <c r="F391" s="6" t="s">
        <v>27</v>
      </c>
      <c r="G391" s="9" t="s">
        <v>27</v>
      </c>
      <c r="I391" s="18"/>
    </row>
    <row r="392" spans="1:9" ht="13.2" thickBot="1">
      <c r="A392" s="7" t="s">
        <v>27</v>
      </c>
      <c r="B392" s="7" t="s">
        <v>27</v>
      </c>
      <c r="C392" s="7" t="s">
        <v>27</v>
      </c>
      <c r="D392" s="8" t="s">
        <v>27</v>
      </c>
      <c r="E392" s="19" t="s">
        <v>27</v>
      </c>
      <c r="F392" s="6" t="s">
        <v>27</v>
      </c>
      <c r="G392" s="9" t="s">
        <v>27</v>
      </c>
      <c r="I392" s="18"/>
    </row>
    <row r="393" spans="1:9" ht="13.2" thickBot="1">
      <c r="A393" s="7" t="s">
        <v>27</v>
      </c>
      <c r="B393" s="7" t="s">
        <v>27</v>
      </c>
      <c r="C393" s="7" t="s">
        <v>27</v>
      </c>
      <c r="D393" s="8" t="s">
        <v>27</v>
      </c>
      <c r="E393" s="19" t="s">
        <v>27</v>
      </c>
      <c r="F393" s="6" t="s">
        <v>27</v>
      </c>
      <c r="G393" s="9" t="s">
        <v>27</v>
      </c>
      <c r="I393" s="18"/>
    </row>
    <row r="394" spans="1:9" ht="13.2" thickBot="1">
      <c r="A394" s="7" t="s">
        <v>27</v>
      </c>
      <c r="B394" s="7" t="s">
        <v>27</v>
      </c>
      <c r="C394" s="7" t="s">
        <v>27</v>
      </c>
      <c r="D394" s="8" t="s">
        <v>27</v>
      </c>
      <c r="E394" s="19" t="s">
        <v>27</v>
      </c>
      <c r="F394" s="6" t="s">
        <v>27</v>
      </c>
      <c r="G394" s="9" t="s">
        <v>27</v>
      </c>
      <c r="I394" s="18"/>
    </row>
    <row r="395" spans="1:9" ht="13.2" thickBot="1">
      <c r="A395" s="7" t="s">
        <v>27</v>
      </c>
      <c r="B395" s="7" t="s">
        <v>27</v>
      </c>
      <c r="C395" s="7" t="s">
        <v>27</v>
      </c>
      <c r="D395" s="8" t="s">
        <v>27</v>
      </c>
      <c r="E395" s="19" t="s">
        <v>27</v>
      </c>
      <c r="F395" s="6" t="s">
        <v>27</v>
      </c>
      <c r="G395" s="9" t="s">
        <v>27</v>
      </c>
      <c r="I395" s="18"/>
    </row>
    <row r="396" spans="1:9" ht="13.2" thickBot="1">
      <c r="A396" s="7" t="s">
        <v>27</v>
      </c>
      <c r="B396" s="7" t="s">
        <v>27</v>
      </c>
      <c r="C396" s="7" t="s">
        <v>27</v>
      </c>
      <c r="D396" s="8" t="s">
        <v>27</v>
      </c>
      <c r="E396" s="19" t="s">
        <v>27</v>
      </c>
      <c r="F396" s="6" t="s">
        <v>27</v>
      </c>
      <c r="G396" s="9" t="s">
        <v>27</v>
      </c>
      <c r="I396" s="18"/>
    </row>
    <row r="397" spans="1:9" ht="13.2" thickBot="1">
      <c r="A397" s="7" t="s">
        <v>27</v>
      </c>
      <c r="B397" s="7" t="s">
        <v>27</v>
      </c>
      <c r="C397" s="7" t="s">
        <v>27</v>
      </c>
      <c r="D397" s="8" t="s">
        <v>27</v>
      </c>
      <c r="E397" s="19" t="s">
        <v>27</v>
      </c>
      <c r="F397" s="6" t="s">
        <v>27</v>
      </c>
      <c r="G397" s="9" t="s">
        <v>27</v>
      </c>
      <c r="I397" s="18"/>
    </row>
    <row r="398" spans="1:9" ht="13.2" thickBot="1">
      <c r="A398" s="7" t="s">
        <v>27</v>
      </c>
      <c r="B398" s="7" t="s">
        <v>27</v>
      </c>
      <c r="C398" s="7" t="s">
        <v>27</v>
      </c>
      <c r="D398" s="8" t="s">
        <v>27</v>
      </c>
      <c r="E398" s="19" t="s">
        <v>27</v>
      </c>
      <c r="F398" s="6" t="s">
        <v>27</v>
      </c>
      <c r="G398" s="9" t="s">
        <v>27</v>
      </c>
      <c r="I398" s="18"/>
    </row>
    <row r="399" spans="1:9" ht="13.2" thickBot="1">
      <c r="A399" s="7" t="s">
        <v>27</v>
      </c>
      <c r="B399" s="7" t="s">
        <v>27</v>
      </c>
      <c r="C399" s="7" t="s">
        <v>27</v>
      </c>
      <c r="D399" s="8" t="s">
        <v>27</v>
      </c>
      <c r="E399" s="19" t="s">
        <v>27</v>
      </c>
      <c r="F399" s="6" t="s">
        <v>27</v>
      </c>
      <c r="G399" s="9" t="s">
        <v>27</v>
      </c>
      <c r="I399" s="18"/>
    </row>
    <row r="400" spans="1:9" ht="13.2" thickBot="1">
      <c r="A400" s="7" t="s">
        <v>27</v>
      </c>
      <c r="B400" s="7" t="s">
        <v>27</v>
      </c>
      <c r="C400" s="7" t="s">
        <v>27</v>
      </c>
      <c r="D400" s="8" t="s">
        <v>27</v>
      </c>
      <c r="E400" s="19" t="s">
        <v>27</v>
      </c>
      <c r="F400" s="6" t="s">
        <v>27</v>
      </c>
      <c r="G400" s="9" t="s">
        <v>27</v>
      </c>
      <c r="I400" s="18"/>
    </row>
    <row r="401" spans="1:9" ht="13.2" thickBot="1">
      <c r="A401" s="7" t="s">
        <v>27</v>
      </c>
      <c r="B401" s="7" t="s">
        <v>27</v>
      </c>
      <c r="C401" s="7" t="s">
        <v>27</v>
      </c>
      <c r="D401" s="8" t="s">
        <v>27</v>
      </c>
      <c r="E401" s="19" t="s">
        <v>27</v>
      </c>
      <c r="F401" s="6" t="s">
        <v>27</v>
      </c>
      <c r="G401" s="9" t="s">
        <v>27</v>
      </c>
      <c r="I401" s="18"/>
    </row>
    <row r="402" spans="1:9" ht="13.2" thickBot="1">
      <c r="A402" s="7" t="s">
        <v>27</v>
      </c>
      <c r="B402" s="7" t="s">
        <v>27</v>
      </c>
      <c r="C402" s="7" t="s">
        <v>27</v>
      </c>
      <c r="D402" s="8" t="s">
        <v>27</v>
      </c>
      <c r="E402" s="19" t="s">
        <v>27</v>
      </c>
      <c r="F402" s="6" t="s">
        <v>27</v>
      </c>
      <c r="G402" s="9" t="s">
        <v>27</v>
      </c>
      <c r="I402" s="18"/>
    </row>
    <row r="403" spans="1:9" ht="13.2" thickBot="1">
      <c r="A403" s="7" t="s">
        <v>27</v>
      </c>
      <c r="B403" s="7" t="s">
        <v>27</v>
      </c>
      <c r="C403" s="7" t="s">
        <v>27</v>
      </c>
      <c r="D403" s="8" t="s">
        <v>27</v>
      </c>
      <c r="E403" s="19" t="s">
        <v>27</v>
      </c>
      <c r="F403" s="6" t="s">
        <v>27</v>
      </c>
      <c r="G403" s="9" t="s">
        <v>27</v>
      </c>
      <c r="I403" s="18"/>
    </row>
    <row r="404" spans="1:9" ht="13.2" thickBot="1">
      <c r="A404" s="7" t="s">
        <v>27</v>
      </c>
      <c r="B404" s="7" t="s">
        <v>27</v>
      </c>
      <c r="C404" s="7" t="s">
        <v>27</v>
      </c>
      <c r="D404" s="8" t="s">
        <v>27</v>
      </c>
      <c r="E404" s="19" t="s">
        <v>27</v>
      </c>
      <c r="F404" s="6" t="s">
        <v>27</v>
      </c>
      <c r="G404" s="9" t="s">
        <v>27</v>
      </c>
      <c r="I404" s="18"/>
    </row>
    <row r="405" spans="1:9" ht="13.2" thickBot="1">
      <c r="A405" s="7" t="s">
        <v>27</v>
      </c>
      <c r="B405" s="7" t="s">
        <v>27</v>
      </c>
      <c r="C405" s="7" t="s">
        <v>27</v>
      </c>
      <c r="D405" s="8" t="s">
        <v>27</v>
      </c>
      <c r="E405" s="19" t="s">
        <v>27</v>
      </c>
      <c r="F405" s="6" t="s">
        <v>27</v>
      </c>
      <c r="G405" s="9" t="s">
        <v>27</v>
      </c>
      <c r="I405" s="18"/>
    </row>
    <row r="406" spans="1:9" ht="13.2" thickBot="1">
      <c r="A406" s="7" t="s">
        <v>27</v>
      </c>
      <c r="B406" s="7" t="s">
        <v>27</v>
      </c>
      <c r="C406" s="7" t="s">
        <v>27</v>
      </c>
      <c r="D406" s="8" t="s">
        <v>27</v>
      </c>
      <c r="E406" s="19" t="s">
        <v>27</v>
      </c>
      <c r="F406" s="6" t="s">
        <v>27</v>
      </c>
      <c r="G406" s="9" t="s">
        <v>27</v>
      </c>
      <c r="I406" s="18"/>
    </row>
    <row r="407" spans="1:9" ht="13.2" thickBot="1">
      <c r="A407" s="7" t="s">
        <v>27</v>
      </c>
      <c r="B407" s="7" t="s">
        <v>27</v>
      </c>
      <c r="C407" s="7" t="s">
        <v>27</v>
      </c>
      <c r="D407" s="8" t="s">
        <v>27</v>
      </c>
      <c r="E407" s="19" t="s">
        <v>27</v>
      </c>
      <c r="F407" s="6" t="s">
        <v>27</v>
      </c>
      <c r="G407" s="9" t="s">
        <v>27</v>
      </c>
      <c r="I407" s="18"/>
    </row>
    <row r="408" spans="1:9" ht="13.2" thickBot="1">
      <c r="A408" s="7" t="s">
        <v>27</v>
      </c>
      <c r="B408" s="7" t="s">
        <v>27</v>
      </c>
      <c r="C408" s="7" t="s">
        <v>27</v>
      </c>
      <c r="D408" s="8" t="s">
        <v>27</v>
      </c>
      <c r="E408" s="19" t="s">
        <v>27</v>
      </c>
      <c r="F408" s="6" t="s">
        <v>27</v>
      </c>
      <c r="G408" s="9" t="s">
        <v>27</v>
      </c>
      <c r="I408" s="18"/>
    </row>
    <row r="409" spans="1:9" ht="13.2" thickBot="1">
      <c r="A409" s="7" t="s">
        <v>27</v>
      </c>
      <c r="B409" s="7" t="s">
        <v>27</v>
      </c>
      <c r="C409" s="7" t="s">
        <v>27</v>
      </c>
      <c r="D409" s="8" t="s">
        <v>27</v>
      </c>
      <c r="E409" s="19" t="s">
        <v>27</v>
      </c>
      <c r="F409" s="6" t="s">
        <v>27</v>
      </c>
      <c r="G409" s="9" t="s">
        <v>27</v>
      </c>
      <c r="I409" s="18"/>
    </row>
    <row r="410" spans="1:9" ht="13.2" thickBot="1">
      <c r="A410" s="7" t="s">
        <v>27</v>
      </c>
      <c r="B410" s="7" t="s">
        <v>27</v>
      </c>
      <c r="C410" s="7" t="s">
        <v>27</v>
      </c>
      <c r="D410" s="8" t="s">
        <v>27</v>
      </c>
      <c r="E410" s="19" t="s">
        <v>27</v>
      </c>
      <c r="F410" s="6" t="s">
        <v>27</v>
      </c>
      <c r="G410" s="9" t="s">
        <v>27</v>
      </c>
      <c r="I410" s="18"/>
    </row>
    <row r="411" spans="1:9" ht="13.2" thickBot="1">
      <c r="A411" s="7" t="s">
        <v>27</v>
      </c>
      <c r="B411" s="7" t="s">
        <v>27</v>
      </c>
      <c r="C411" s="7" t="s">
        <v>27</v>
      </c>
      <c r="D411" s="8" t="s">
        <v>27</v>
      </c>
      <c r="E411" s="19" t="s">
        <v>27</v>
      </c>
      <c r="F411" s="6" t="s">
        <v>27</v>
      </c>
      <c r="G411" s="9" t="s">
        <v>27</v>
      </c>
      <c r="I411" s="18"/>
    </row>
    <row r="412" spans="1:9" ht="13.2" thickBot="1">
      <c r="A412" s="7" t="s">
        <v>27</v>
      </c>
      <c r="B412" s="7" t="s">
        <v>27</v>
      </c>
      <c r="C412" s="7" t="s">
        <v>27</v>
      </c>
      <c r="D412" s="8" t="s">
        <v>27</v>
      </c>
      <c r="E412" s="19" t="s">
        <v>27</v>
      </c>
      <c r="F412" s="6" t="s">
        <v>27</v>
      </c>
      <c r="G412" s="9" t="s">
        <v>27</v>
      </c>
      <c r="I412" s="18"/>
    </row>
    <row r="413" spans="1:9" ht="13.2" thickBot="1">
      <c r="A413" s="7" t="s">
        <v>27</v>
      </c>
      <c r="B413" s="7" t="s">
        <v>27</v>
      </c>
      <c r="C413" s="7" t="s">
        <v>27</v>
      </c>
      <c r="D413" s="8" t="s">
        <v>27</v>
      </c>
      <c r="E413" s="19" t="s">
        <v>27</v>
      </c>
      <c r="F413" s="6" t="s">
        <v>27</v>
      </c>
      <c r="G413" s="9" t="s">
        <v>27</v>
      </c>
      <c r="I413" s="18"/>
    </row>
    <row r="414" spans="1:9" ht="13.2" thickBot="1">
      <c r="A414" s="7" t="s">
        <v>27</v>
      </c>
      <c r="B414" s="7" t="s">
        <v>27</v>
      </c>
      <c r="C414" s="7" t="s">
        <v>27</v>
      </c>
      <c r="D414" s="8" t="s">
        <v>27</v>
      </c>
      <c r="E414" s="19" t="s">
        <v>27</v>
      </c>
      <c r="F414" s="6" t="s">
        <v>27</v>
      </c>
      <c r="G414" s="9" t="s">
        <v>27</v>
      </c>
      <c r="I414" s="18"/>
    </row>
    <row r="415" spans="1:9" ht="13.2" thickBot="1">
      <c r="A415" s="7" t="s">
        <v>27</v>
      </c>
      <c r="B415" s="7" t="s">
        <v>27</v>
      </c>
      <c r="C415" s="7" t="s">
        <v>27</v>
      </c>
      <c r="D415" s="8" t="s">
        <v>27</v>
      </c>
      <c r="E415" s="19" t="s">
        <v>27</v>
      </c>
      <c r="F415" s="6" t="s">
        <v>27</v>
      </c>
      <c r="G415" s="9" t="s">
        <v>27</v>
      </c>
      <c r="I415" s="18"/>
    </row>
    <row r="416" spans="1:9" ht="13.2" thickBot="1">
      <c r="A416" s="7" t="s">
        <v>27</v>
      </c>
      <c r="B416" s="7" t="s">
        <v>27</v>
      </c>
      <c r="C416" s="7" t="s">
        <v>27</v>
      </c>
      <c r="D416" s="8" t="s">
        <v>27</v>
      </c>
      <c r="E416" s="19" t="s">
        <v>27</v>
      </c>
      <c r="F416" s="6" t="s">
        <v>27</v>
      </c>
      <c r="G416" s="9" t="s">
        <v>27</v>
      </c>
      <c r="I416" s="18"/>
    </row>
    <row r="417" spans="1:9" ht="13.2" thickBot="1">
      <c r="A417" s="7" t="s">
        <v>27</v>
      </c>
      <c r="B417" s="7" t="s">
        <v>27</v>
      </c>
      <c r="C417" s="7" t="s">
        <v>27</v>
      </c>
      <c r="D417" s="8" t="s">
        <v>27</v>
      </c>
      <c r="E417" s="19" t="s">
        <v>27</v>
      </c>
      <c r="F417" s="6" t="s">
        <v>27</v>
      </c>
      <c r="G417" s="9" t="s">
        <v>27</v>
      </c>
      <c r="I417" s="18"/>
    </row>
    <row r="418" spans="1:9" ht="13.2" thickBot="1">
      <c r="A418" s="7" t="s">
        <v>27</v>
      </c>
      <c r="B418" s="7" t="s">
        <v>27</v>
      </c>
      <c r="C418" s="7" t="s">
        <v>27</v>
      </c>
      <c r="D418" s="8" t="s">
        <v>27</v>
      </c>
      <c r="E418" s="19" t="s">
        <v>27</v>
      </c>
      <c r="F418" s="6" t="s">
        <v>27</v>
      </c>
      <c r="G418" s="9" t="s">
        <v>27</v>
      </c>
      <c r="I418" s="18"/>
    </row>
    <row r="419" spans="1:9" ht="13.2" thickBot="1">
      <c r="A419" s="7" t="s">
        <v>27</v>
      </c>
      <c r="B419" s="7" t="s">
        <v>27</v>
      </c>
      <c r="C419" s="7" t="s">
        <v>27</v>
      </c>
      <c r="D419" s="8" t="s">
        <v>27</v>
      </c>
      <c r="E419" s="19" t="s">
        <v>27</v>
      </c>
      <c r="F419" s="6" t="s">
        <v>27</v>
      </c>
      <c r="G419" s="9" t="s">
        <v>27</v>
      </c>
      <c r="I419" s="18"/>
    </row>
    <row r="420" spans="1:9" ht="13.2" thickBot="1">
      <c r="A420" s="7" t="s">
        <v>27</v>
      </c>
      <c r="B420" s="7" t="s">
        <v>27</v>
      </c>
      <c r="C420" s="7" t="s">
        <v>27</v>
      </c>
      <c r="D420" s="8" t="s">
        <v>27</v>
      </c>
      <c r="E420" s="19" t="s">
        <v>27</v>
      </c>
      <c r="F420" s="6" t="s">
        <v>27</v>
      </c>
      <c r="G420" s="9" t="s">
        <v>27</v>
      </c>
      <c r="I420" s="18"/>
    </row>
    <row r="421" spans="1:9" ht="13.2" thickBot="1">
      <c r="A421" s="7" t="s">
        <v>27</v>
      </c>
      <c r="B421" s="7" t="s">
        <v>27</v>
      </c>
      <c r="C421" s="7" t="s">
        <v>27</v>
      </c>
      <c r="D421" s="8" t="s">
        <v>27</v>
      </c>
      <c r="E421" s="19" t="s">
        <v>27</v>
      </c>
      <c r="F421" s="6" t="s">
        <v>27</v>
      </c>
      <c r="G421" s="9" t="s">
        <v>27</v>
      </c>
      <c r="I421" s="18"/>
    </row>
    <row r="422" spans="1:9" ht="13.2" thickBot="1">
      <c r="A422" s="7" t="s">
        <v>27</v>
      </c>
      <c r="B422" s="7" t="s">
        <v>27</v>
      </c>
      <c r="C422" s="7" t="s">
        <v>27</v>
      </c>
      <c r="D422" s="8" t="s">
        <v>27</v>
      </c>
      <c r="E422" s="19" t="s">
        <v>27</v>
      </c>
      <c r="F422" s="6" t="s">
        <v>27</v>
      </c>
      <c r="G422" s="9" t="s">
        <v>27</v>
      </c>
      <c r="I422" s="18"/>
    </row>
    <row r="423" spans="1:9" ht="13.2" thickBot="1">
      <c r="A423" s="7" t="s">
        <v>27</v>
      </c>
      <c r="B423" s="7" t="s">
        <v>27</v>
      </c>
      <c r="C423" s="7" t="s">
        <v>27</v>
      </c>
      <c r="D423" s="8" t="s">
        <v>27</v>
      </c>
      <c r="E423" s="19" t="s">
        <v>27</v>
      </c>
      <c r="F423" s="6" t="s">
        <v>27</v>
      </c>
      <c r="G423" s="9" t="s">
        <v>27</v>
      </c>
      <c r="I423" s="18"/>
    </row>
    <row r="424" spans="1:9" ht="13.2" thickBot="1">
      <c r="A424" s="7" t="s">
        <v>27</v>
      </c>
      <c r="B424" s="7" t="s">
        <v>27</v>
      </c>
      <c r="C424" s="7" t="s">
        <v>27</v>
      </c>
      <c r="D424" s="8" t="s">
        <v>27</v>
      </c>
      <c r="E424" s="19" t="s">
        <v>27</v>
      </c>
      <c r="F424" s="6" t="s">
        <v>27</v>
      </c>
      <c r="G424" s="9" t="s">
        <v>27</v>
      </c>
      <c r="I424" s="18"/>
    </row>
    <row r="425" spans="1:9" ht="13.2" thickBot="1">
      <c r="A425" s="7" t="s">
        <v>27</v>
      </c>
      <c r="B425" s="7" t="s">
        <v>27</v>
      </c>
      <c r="C425" s="7" t="s">
        <v>27</v>
      </c>
      <c r="D425" s="8" t="s">
        <v>27</v>
      </c>
      <c r="E425" s="19" t="s">
        <v>27</v>
      </c>
      <c r="F425" s="6" t="s">
        <v>27</v>
      </c>
      <c r="G425" s="9" t="s">
        <v>27</v>
      </c>
      <c r="I425" s="18"/>
    </row>
    <row r="426" spans="1:9" ht="13.2" thickBot="1">
      <c r="A426" s="7" t="s">
        <v>27</v>
      </c>
      <c r="B426" s="7" t="s">
        <v>27</v>
      </c>
      <c r="C426" s="7" t="s">
        <v>27</v>
      </c>
      <c r="D426" s="8" t="s">
        <v>27</v>
      </c>
      <c r="E426" s="19" t="s">
        <v>27</v>
      </c>
      <c r="F426" s="6" t="s">
        <v>27</v>
      </c>
      <c r="G426" s="9" t="s">
        <v>27</v>
      </c>
      <c r="I426" s="18"/>
    </row>
    <row r="427" spans="1:9" ht="13.2" thickBot="1">
      <c r="A427" s="7" t="s">
        <v>27</v>
      </c>
      <c r="B427" s="7" t="s">
        <v>27</v>
      </c>
      <c r="C427" s="7" t="s">
        <v>27</v>
      </c>
      <c r="D427" s="8" t="s">
        <v>27</v>
      </c>
      <c r="E427" s="19" t="s">
        <v>27</v>
      </c>
      <c r="F427" s="6" t="s">
        <v>27</v>
      </c>
      <c r="G427" s="9" t="s">
        <v>27</v>
      </c>
      <c r="I427" s="18"/>
    </row>
    <row r="428" spans="1:9" ht="13.2" thickBot="1">
      <c r="A428" s="7" t="s">
        <v>27</v>
      </c>
      <c r="B428" s="7" t="s">
        <v>27</v>
      </c>
      <c r="C428" s="7" t="s">
        <v>27</v>
      </c>
      <c r="D428" s="8" t="s">
        <v>27</v>
      </c>
      <c r="E428" s="19" t="s">
        <v>27</v>
      </c>
      <c r="F428" s="6" t="s">
        <v>27</v>
      </c>
      <c r="G428" s="9" t="s">
        <v>27</v>
      </c>
      <c r="I428" s="18"/>
    </row>
    <row r="429" spans="1:9" ht="13.2" thickBot="1">
      <c r="A429" s="7" t="s">
        <v>27</v>
      </c>
      <c r="B429" s="7" t="s">
        <v>27</v>
      </c>
      <c r="C429" s="7" t="s">
        <v>27</v>
      </c>
      <c r="D429" s="8" t="s">
        <v>27</v>
      </c>
      <c r="E429" s="19" t="s">
        <v>27</v>
      </c>
      <c r="F429" s="6" t="s">
        <v>27</v>
      </c>
      <c r="G429" s="9" t="s">
        <v>27</v>
      </c>
      <c r="I429" s="18"/>
    </row>
    <row r="430" spans="1:9" ht="13.2" thickBot="1">
      <c r="A430" s="7" t="s">
        <v>27</v>
      </c>
      <c r="B430" s="7" t="s">
        <v>27</v>
      </c>
      <c r="C430" s="7" t="s">
        <v>27</v>
      </c>
      <c r="D430" s="8" t="s">
        <v>27</v>
      </c>
      <c r="E430" s="19" t="s">
        <v>27</v>
      </c>
      <c r="F430" s="6" t="s">
        <v>27</v>
      </c>
      <c r="G430" s="9" t="s">
        <v>27</v>
      </c>
      <c r="I430" s="18"/>
    </row>
    <row r="431" spans="1:9" ht="13.2" thickBot="1">
      <c r="A431" s="7" t="s">
        <v>27</v>
      </c>
      <c r="B431" s="7" t="s">
        <v>27</v>
      </c>
      <c r="C431" s="7" t="s">
        <v>27</v>
      </c>
      <c r="D431" s="8" t="s">
        <v>27</v>
      </c>
      <c r="E431" s="19" t="s">
        <v>27</v>
      </c>
      <c r="F431" s="6" t="s">
        <v>27</v>
      </c>
      <c r="G431" s="9" t="s">
        <v>27</v>
      </c>
      <c r="I431" s="18"/>
    </row>
    <row r="432" spans="1:9" ht="13.2" thickBot="1">
      <c r="A432" s="7" t="s">
        <v>27</v>
      </c>
      <c r="B432" s="7" t="s">
        <v>27</v>
      </c>
      <c r="C432" s="7" t="s">
        <v>27</v>
      </c>
      <c r="D432" s="8" t="s">
        <v>27</v>
      </c>
      <c r="E432" s="19" t="s">
        <v>27</v>
      </c>
      <c r="F432" s="6" t="s">
        <v>27</v>
      </c>
      <c r="G432" s="9" t="s">
        <v>27</v>
      </c>
      <c r="I432" s="18"/>
    </row>
    <row r="433" spans="1:9" ht="13.2" thickBot="1">
      <c r="A433" s="7" t="s">
        <v>27</v>
      </c>
      <c r="B433" s="7" t="s">
        <v>27</v>
      </c>
      <c r="C433" s="7" t="s">
        <v>27</v>
      </c>
      <c r="D433" s="8" t="s">
        <v>27</v>
      </c>
      <c r="E433" s="19" t="s">
        <v>27</v>
      </c>
      <c r="F433" s="6" t="s">
        <v>27</v>
      </c>
      <c r="G433" s="9" t="s">
        <v>27</v>
      </c>
      <c r="I433" s="18"/>
    </row>
    <row r="434" spans="1:9" ht="13.2" thickBot="1">
      <c r="A434" s="7" t="s">
        <v>27</v>
      </c>
      <c r="B434" s="7" t="s">
        <v>27</v>
      </c>
      <c r="C434" s="7" t="s">
        <v>27</v>
      </c>
      <c r="D434" s="8" t="s">
        <v>27</v>
      </c>
      <c r="E434" s="19" t="s">
        <v>27</v>
      </c>
      <c r="F434" s="6" t="s">
        <v>27</v>
      </c>
      <c r="G434" s="9" t="s">
        <v>27</v>
      </c>
      <c r="I434" s="18"/>
    </row>
    <row r="435" spans="1:9" ht="13.2" thickBot="1">
      <c r="A435" s="7" t="s">
        <v>27</v>
      </c>
      <c r="B435" s="7" t="s">
        <v>27</v>
      </c>
      <c r="C435" s="7" t="s">
        <v>27</v>
      </c>
      <c r="D435" s="8" t="s">
        <v>27</v>
      </c>
      <c r="E435" s="19" t="s">
        <v>27</v>
      </c>
      <c r="F435" s="6" t="s">
        <v>27</v>
      </c>
      <c r="G435" s="9" t="s">
        <v>27</v>
      </c>
      <c r="I435" s="18"/>
    </row>
    <row r="436" spans="1:9" ht="13.2" thickBot="1">
      <c r="A436" s="7" t="s">
        <v>27</v>
      </c>
      <c r="B436" s="7" t="s">
        <v>27</v>
      </c>
      <c r="C436" s="7" t="s">
        <v>27</v>
      </c>
      <c r="D436" s="8" t="s">
        <v>27</v>
      </c>
      <c r="E436" s="19" t="s">
        <v>27</v>
      </c>
      <c r="F436" s="6" t="s">
        <v>27</v>
      </c>
      <c r="G436" s="9" t="s">
        <v>27</v>
      </c>
      <c r="I436" s="18"/>
    </row>
    <row r="437" spans="1:9" ht="13.2" thickBot="1">
      <c r="A437" s="7" t="s">
        <v>27</v>
      </c>
      <c r="B437" s="7" t="s">
        <v>27</v>
      </c>
      <c r="C437" s="7" t="s">
        <v>27</v>
      </c>
      <c r="D437" s="8" t="s">
        <v>27</v>
      </c>
      <c r="E437" s="19" t="s">
        <v>27</v>
      </c>
      <c r="F437" s="6" t="s">
        <v>27</v>
      </c>
      <c r="G437" s="9" t="s">
        <v>27</v>
      </c>
      <c r="I437" s="18"/>
    </row>
    <row r="438" spans="1:9" ht="13.2" thickBot="1">
      <c r="A438" s="7" t="s">
        <v>27</v>
      </c>
      <c r="B438" s="7" t="s">
        <v>27</v>
      </c>
      <c r="C438" s="7" t="s">
        <v>27</v>
      </c>
      <c r="D438" s="8" t="s">
        <v>27</v>
      </c>
      <c r="E438" s="19" t="s">
        <v>27</v>
      </c>
      <c r="F438" s="6" t="s">
        <v>27</v>
      </c>
      <c r="G438" s="9" t="s">
        <v>27</v>
      </c>
      <c r="I438" s="18"/>
    </row>
    <row r="439" spans="1:9" ht="13.2" thickBot="1">
      <c r="A439" s="7" t="s">
        <v>27</v>
      </c>
      <c r="B439" s="7" t="s">
        <v>27</v>
      </c>
      <c r="C439" s="7" t="s">
        <v>27</v>
      </c>
      <c r="D439" s="8" t="s">
        <v>27</v>
      </c>
      <c r="E439" s="19" t="s">
        <v>27</v>
      </c>
      <c r="F439" s="6" t="s">
        <v>27</v>
      </c>
      <c r="G439" s="9" t="s">
        <v>27</v>
      </c>
      <c r="I439" s="18"/>
    </row>
    <row r="440" spans="1:9" ht="13.2" thickBot="1">
      <c r="A440" s="7" t="s">
        <v>27</v>
      </c>
      <c r="B440" s="7" t="s">
        <v>27</v>
      </c>
      <c r="C440" s="7" t="s">
        <v>27</v>
      </c>
      <c r="D440" s="8" t="s">
        <v>27</v>
      </c>
      <c r="E440" s="19" t="s">
        <v>27</v>
      </c>
      <c r="F440" s="6" t="s">
        <v>27</v>
      </c>
      <c r="G440" s="9" t="s">
        <v>27</v>
      </c>
      <c r="I440" s="18"/>
    </row>
    <row r="441" spans="1:9" ht="13.2" thickBot="1">
      <c r="A441" s="7" t="s">
        <v>27</v>
      </c>
      <c r="B441" s="7" t="s">
        <v>27</v>
      </c>
      <c r="C441" s="7" t="s">
        <v>27</v>
      </c>
      <c r="D441" s="8" t="s">
        <v>27</v>
      </c>
      <c r="E441" s="19" t="s">
        <v>27</v>
      </c>
      <c r="F441" s="6" t="s">
        <v>27</v>
      </c>
      <c r="G441" s="9" t="s">
        <v>27</v>
      </c>
      <c r="I441" s="18"/>
    </row>
    <row r="442" spans="1:9" ht="13.2" thickBot="1">
      <c r="A442" s="7" t="s">
        <v>27</v>
      </c>
      <c r="B442" s="7" t="s">
        <v>27</v>
      </c>
      <c r="C442" s="7" t="s">
        <v>27</v>
      </c>
      <c r="D442" s="8" t="s">
        <v>27</v>
      </c>
      <c r="E442" s="19" t="s">
        <v>27</v>
      </c>
      <c r="F442" s="6" t="s">
        <v>27</v>
      </c>
      <c r="G442" s="9" t="s">
        <v>27</v>
      </c>
      <c r="I442" s="18"/>
    </row>
    <row r="443" spans="1:9" ht="13.2" thickBot="1">
      <c r="A443" s="7" t="s">
        <v>27</v>
      </c>
      <c r="B443" s="7" t="s">
        <v>27</v>
      </c>
      <c r="C443" s="7" t="s">
        <v>27</v>
      </c>
      <c r="D443" s="8" t="s">
        <v>27</v>
      </c>
      <c r="E443" s="19" t="s">
        <v>27</v>
      </c>
      <c r="F443" s="6" t="s">
        <v>27</v>
      </c>
      <c r="G443" s="9" t="s">
        <v>27</v>
      </c>
      <c r="I443" s="18"/>
    </row>
    <row r="444" spans="1:9" ht="13.2" thickBot="1">
      <c r="A444" s="7" t="s">
        <v>27</v>
      </c>
      <c r="B444" s="7" t="s">
        <v>27</v>
      </c>
      <c r="C444" s="7" t="s">
        <v>27</v>
      </c>
      <c r="D444" s="8" t="s">
        <v>27</v>
      </c>
      <c r="E444" s="19" t="s">
        <v>27</v>
      </c>
      <c r="F444" s="6" t="s">
        <v>27</v>
      </c>
      <c r="G444" s="9" t="s">
        <v>27</v>
      </c>
      <c r="I444" s="18"/>
    </row>
    <row r="445" spans="1:9" ht="13.2" thickBot="1">
      <c r="A445" s="7" t="s">
        <v>27</v>
      </c>
      <c r="B445" s="7" t="s">
        <v>27</v>
      </c>
      <c r="C445" s="7" t="s">
        <v>27</v>
      </c>
      <c r="D445" s="8" t="s">
        <v>27</v>
      </c>
      <c r="E445" s="19" t="s">
        <v>27</v>
      </c>
      <c r="F445" s="6" t="s">
        <v>27</v>
      </c>
      <c r="G445" s="9" t="s">
        <v>27</v>
      </c>
      <c r="I445" s="18"/>
    </row>
    <row r="446" spans="1:9" ht="13.2" thickBot="1">
      <c r="A446" s="7" t="s">
        <v>27</v>
      </c>
      <c r="B446" s="7" t="s">
        <v>27</v>
      </c>
      <c r="C446" s="7" t="s">
        <v>27</v>
      </c>
      <c r="D446" s="8" t="s">
        <v>27</v>
      </c>
      <c r="E446" s="19" t="s">
        <v>27</v>
      </c>
      <c r="F446" s="6" t="s">
        <v>27</v>
      </c>
      <c r="G446" s="9" t="s">
        <v>27</v>
      </c>
      <c r="I446" s="18"/>
    </row>
    <row r="447" spans="1:9" ht="13.2" thickBot="1">
      <c r="A447" s="7" t="s">
        <v>27</v>
      </c>
      <c r="B447" s="7" t="s">
        <v>27</v>
      </c>
      <c r="C447" s="7" t="s">
        <v>27</v>
      </c>
      <c r="D447" s="8" t="s">
        <v>27</v>
      </c>
      <c r="E447" s="19" t="s">
        <v>27</v>
      </c>
      <c r="F447" s="6" t="s">
        <v>27</v>
      </c>
      <c r="G447" s="9" t="s">
        <v>27</v>
      </c>
      <c r="I447" s="18"/>
    </row>
    <row r="448" spans="1:9" ht="13.2" thickBot="1">
      <c r="A448" s="7" t="s">
        <v>27</v>
      </c>
      <c r="B448" s="7" t="s">
        <v>27</v>
      </c>
      <c r="C448" s="7" t="s">
        <v>27</v>
      </c>
      <c r="D448" s="8" t="s">
        <v>27</v>
      </c>
      <c r="E448" s="19" t="s">
        <v>27</v>
      </c>
      <c r="F448" s="6" t="s">
        <v>27</v>
      </c>
      <c r="G448" s="9" t="s">
        <v>27</v>
      </c>
      <c r="I448" s="18"/>
    </row>
    <row r="449" spans="1:9" ht="13.2" thickBot="1">
      <c r="A449" s="7" t="s">
        <v>27</v>
      </c>
      <c r="B449" s="7" t="s">
        <v>27</v>
      </c>
      <c r="C449" s="7" t="s">
        <v>27</v>
      </c>
      <c r="D449" s="8" t="s">
        <v>27</v>
      </c>
      <c r="E449" s="19" t="s">
        <v>27</v>
      </c>
      <c r="F449" s="6" t="s">
        <v>27</v>
      </c>
      <c r="G449" s="9" t="s">
        <v>27</v>
      </c>
      <c r="I449" s="18"/>
    </row>
    <row r="450" spans="1:9" ht="13.2" thickBot="1">
      <c r="A450" s="7" t="s">
        <v>27</v>
      </c>
      <c r="B450" s="7" t="s">
        <v>27</v>
      </c>
      <c r="C450" s="7" t="s">
        <v>27</v>
      </c>
      <c r="D450" s="8" t="s">
        <v>27</v>
      </c>
      <c r="E450" s="19" t="s">
        <v>27</v>
      </c>
      <c r="F450" s="6" t="s">
        <v>27</v>
      </c>
      <c r="G450" s="9" t="s">
        <v>27</v>
      </c>
      <c r="I450" s="18"/>
    </row>
    <row r="451" spans="1:9" ht="13.2" thickBot="1">
      <c r="A451" s="7" t="s">
        <v>27</v>
      </c>
      <c r="B451" s="7" t="s">
        <v>27</v>
      </c>
      <c r="C451" s="7" t="s">
        <v>27</v>
      </c>
      <c r="D451" s="8" t="s">
        <v>27</v>
      </c>
      <c r="E451" s="19" t="s">
        <v>27</v>
      </c>
      <c r="F451" s="6" t="s">
        <v>27</v>
      </c>
      <c r="G451" s="9" t="s">
        <v>27</v>
      </c>
      <c r="I451" s="18"/>
    </row>
    <row r="452" spans="1:9" ht="13.2" thickBot="1">
      <c r="A452" s="7" t="s">
        <v>27</v>
      </c>
      <c r="B452" s="7" t="s">
        <v>27</v>
      </c>
      <c r="C452" s="7" t="s">
        <v>27</v>
      </c>
      <c r="D452" s="8" t="s">
        <v>27</v>
      </c>
      <c r="E452" s="19" t="s">
        <v>27</v>
      </c>
      <c r="F452" s="6" t="s">
        <v>27</v>
      </c>
      <c r="G452" s="9" t="s">
        <v>27</v>
      </c>
      <c r="I452" s="18"/>
    </row>
    <row r="453" spans="1:9" ht="13.2" thickBot="1">
      <c r="A453" s="7" t="s">
        <v>27</v>
      </c>
      <c r="B453" s="7" t="s">
        <v>27</v>
      </c>
      <c r="C453" s="7" t="s">
        <v>27</v>
      </c>
      <c r="D453" s="8" t="s">
        <v>27</v>
      </c>
      <c r="E453" s="19" t="s">
        <v>27</v>
      </c>
      <c r="F453" s="6" t="s">
        <v>27</v>
      </c>
      <c r="G453" s="9" t="s">
        <v>27</v>
      </c>
      <c r="I453" s="18"/>
    </row>
    <row r="454" spans="1:9" ht="13.2" thickBot="1">
      <c r="A454" s="7" t="s">
        <v>27</v>
      </c>
      <c r="B454" s="7" t="s">
        <v>27</v>
      </c>
      <c r="C454" s="7" t="s">
        <v>27</v>
      </c>
      <c r="D454" s="8" t="s">
        <v>27</v>
      </c>
      <c r="E454" s="19" t="s">
        <v>27</v>
      </c>
      <c r="F454" s="6" t="s">
        <v>27</v>
      </c>
      <c r="G454" s="9" t="s">
        <v>27</v>
      </c>
      <c r="I454" s="18"/>
    </row>
    <row r="455" spans="1:9" ht="13.2" thickBot="1">
      <c r="A455" s="7" t="s">
        <v>27</v>
      </c>
      <c r="B455" s="7" t="s">
        <v>27</v>
      </c>
      <c r="C455" s="7" t="s">
        <v>27</v>
      </c>
      <c r="D455" s="8" t="s">
        <v>27</v>
      </c>
      <c r="E455" s="19" t="s">
        <v>27</v>
      </c>
      <c r="F455" s="6" t="s">
        <v>27</v>
      </c>
      <c r="G455" s="9" t="s">
        <v>27</v>
      </c>
      <c r="I455" s="18"/>
    </row>
    <row r="456" spans="1:9" ht="13.2" thickBot="1">
      <c r="A456" s="7" t="s">
        <v>27</v>
      </c>
      <c r="B456" s="7" t="s">
        <v>27</v>
      </c>
      <c r="C456" s="7" t="s">
        <v>27</v>
      </c>
      <c r="D456" s="8" t="s">
        <v>27</v>
      </c>
      <c r="E456" s="19" t="s">
        <v>27</v>
      </c>
      <c r="F456" s="6" t="s">
        <v>27</v>
      </c>
      <c r="G456" s="9" t="s">
        <v>27</v>
      </c>
      <c r="I456" s="18"/>
    </row>
    <row r="457" spans="1:9" ht="13.2" thickBot="1">
      <c r="A457" s="7" t="s">
        <v>27</v>
      </c>
      <c r="B457" s="7" t="s">
        <v>27</v>
      </c>
      <c r="C457" s="7" t="s">
        <v>27</v>
      </c>
      <c r="D457" s="8" t="s">
        <v>27</v>
      </c>
      <c r="E457" s="19" t="s">
        <v>27</v>
      </c>
      <c r="F457" s="6" t="s">
        <v>27</v>
      </c>
      <c r="G457" s="9" t="s">
        <v>27</v>
      </c>
      <c r="I457" s="18"/>
    </row>
    <row r="458" spans="1:9" ht="13.2" thickBot="1">
      <c r="A458" s="7" t="s">
        <v>27</v>
      </c>
      <c r="B458" s="7" t="s">
        <v>27</v>
      </c>
      <c r="C458" s="7" t="s">
        <v>27</v>
      </c>
      <c r="D458" s="8" t="s">
        <v>27</v>
      </c>
      <c r="E458" s="19" t="s">
        <v>27</v>
      </c>
      <c r="F458" s="6" t="s">
        <v>27</v>
      </c>
      <c r="G458" s="9" t="s">
        <v>27</v>
      </c>
      <c r="I458" s="18"/>
    </row>
    <row r="459" spans="1:9" ht="13.2" thickBot="1">
      <c r="A459" s="7" t="s">
        <v>27</v>
      </c>
      <c r="B459" s="7" t="s">
        <v>27</v>
      </c>
      <c r="C459" s="7" t="s">
        <v>27</v>
      </c>
      <c r="D459" s="8" t="s">
        <v>27</v>
      </c>
      <c r="E459" s="19" t="s">
        <v>27</v>
      </c>
      <c r="F459" s="6" t="s">
        <v>27</v>
      </c>
      <c r="G459" s="9" t="s">
        <v>27</v>
      </c>
      <c r="I459" s="18"/>
    </row>
    <row r="460" spans="1:9" ht="13.2" thickBot="1">
      <c r="A460" s="7" t="s">
        <v>27</v>
      </c>
      <c r="B460" s="7" t="s">
        <v>27</v>
      </c>
      <c r="C460" s="7" t="s">
        <v>27</v>
      </c>
      <c r="D460" s="8" t="s">
        <v>27</v>
      </c>
      <c r="E460" s="19" t="s">
        <v>27</v>
      </c>
      <c r="F460" s="6" t="s">
        <v>27</v>
      </c>
      <c r="G460" s="9" t="s">
        <v>27</v>
      </c>
      <c r="I460" s="18"/>
    </row>
    <row r="461" spans="1:9" ht="13.2" thickBot="1">
      <c r="A461" s="7" t="s">
        <v>27</v>
      </c>
      <c r="B461" s="7" t="s">
        <v>27</v>
      </c>
      <c r="C461" s="7" t="s">
        <v>27</v>
      </c>
      <c r="D461" s="8" t="s">
        <v>27</v>
      </c>
      <c r="E461" s="19" t="s">
        <v>27</v>
      </c>
      <c r="F461" s="6" t="s">
        <v>27</v>
      </c>
      <c r="G461" s="9" t="s">
        <v>27</v>
      </c>
      <c r="I461" s="18"/>
    </row>
    <row r="462" spans="1:9" ht="13.2" thickBot="1">
      <c r="A462" s="7" t="s">
        <v>27</v>
      </c>
      <c r="B462" s="7" t="s">
        <v>27</v>
      </c>
      <c r="C462" s="7" t="s">
        <v>27</v>
      </c>
      <c r="D462" s="8" t="s">
        <v>27</v>
      </c>
      <c r="E462" s="19" t="s">
        <v>27</v>
      </c>
      <c r="F462" s="6" t="s">
        <v>27</v>
      </c>
      <c r="G462" s="9" t="s">
        <v>27</v>
      </c>
      <c r="I462" s="18"/>
    </row>
    <row r="463" spans="1:9" ht="13.2" thickBot="1">
      <c r="A463" s="7" t="s">
        <v>27</v>
      </c>
      <c r="B463" s="7" t="s">
        <v>27</v>
      </c>
      <c r="C463" s="7" t="s">
        <v>27</v>
      </c>
      <c r="D463" s="8" t="s">
        <v>27</v>
      </c>
      <c r="E463" s="19" t="s">
        <v>27</v>
      </c>
      <c r="F463" s="6" t="s">
        <v>27</v>
      </c>
      <c r="G463" s="9" t="s">
        <v>27</v>
      </c>
      <c r="I463" s="18"/>
    </row>
    <row r="464" spans="1:9" ht="13.2" thickBot="1">
      <c r="A464" s="7" t="s">
        <v>27</v>
      </c>
      <c r="B464" s="7" t="s">
        <v>27</v>
      </c>
      <c r="C464" s="7" t="s">
        <v>27</v>
      </c>
      <c r="D464" s="8" t="s">
        <v>27</v>
      </c>
      <c r="E464" s="19" t="s">
        <v>27</v>
      </c>
      <c r="F464" s="6" t="s">
        <v>27</v>
      </c>
      <c r="G464" s="9" t="s">
        <v>27</v>
      </c>
      <c r="I464" s="18"/>
    </row>
    <row r="465" spans="1:9" ht="13.2" thickBot="1">
      <c r="A465" s="7" t="s">
        <v>27</v>
      </c>
      <c r="B465" s="7" t="s">
        <v>27</v>
      </c>
      <c r="C465" s="7" t="s">
        <v>27</v>
      </c>
      <c r="D465" s="8" t="s">
        <v>27</v>
      </c>
      <c r="E465" s="19" t="s">
        <v>27</v>
      </c>
      <c r="F465" s="6" t="s">
        <v>27</v>
      </c>
      <c r="G465" s="9" t="s">
        <v>27</v>
      </c>
      <c r="I465" s="18"/>
    </row>
    <row r="466" spans="1:9" ht="13.2" thickBot="1">
      <c r="A466" s="7" t="s">
        <v>27</v>
      </c>
      <c r="B466" s="7" t="s">
        <v>27</v>
      </c>
      <c r="C466" s="7" t="s">
        <v>27</v>
      </c>
      <c r="D466" s="8" t="s">
        <v>27</v>
      </c>
      <c r="E466" s="19" t="s">
        <v>27</v>
      </c>
      <c r="F466" s="6" t="s">
        <v>27</v>
      </c>
      <c r="G466" s="9" t="s">
        <v>27</v>
      </c>
      <c r="I466" s="18"/>
    </row>
    <row r="467" spans="1:9" ht="13.2" thickBot="1">
      <c r="A467" s="7" t="s">
        <v>27</v>
      </c>
      <c r="B467" s="7" t="s">
        <v>27</v>
      </c>
      <c r="C467" s="7" t="s">
        <v>27</v>
      </c>
      <c r="D467" s="8" t="s">
        <v>27</v>
      </c>
      <c r="E467" s="19" t="s">
        <v>27</v>
      </c>
      <c r="F467" s="6" t="s">
        <v>27</v>
      </c>
      <c r="G467" s="9" t="s">
        <v>27</v>
      </c>
      <c r="I467" s="18"/>
    </row>
    <row r="468" spans="1:9" ht="13.2" thickBot="1">
      <c r="A468" s="7" t="s">
        <v>27</v>
      </c>
      <c r="B468" s="7" t="s">
        <v>27</v>
      </c>
      <c r="C468" s="7" t="s">
        <v>27</v>
      </c>
      <c r="D468" s="8" t="s">
        <v>27</v>
      </c>
      <c r="E468" s="19" t="s">
        <v>27</v>
      </c>
      <c r="F468" s="6" t="s">
        <v>27</v>
      </c>
      <c r="G468" s="9" t="s">
        <v>27</v>
      </c>
      <c r="I468" s="18"/>
    </row>
    <row r="469" spans="1:9" ht="13.2" thickBot="1">
      <c r="A469" s="7" t="s">
        <v>27</v>
      </c>
      <c r="B469" s="7" t="s">
        <v>27</v>
      </c>
      <c r="C469" s="7" t="s">
        <v>27</v>
      </c>
      <c r="D469" s="8" t="s">
        <v>27</v>
      </c>
      <c r="E469" s="19" t="s">
        <v>27</v>
      </c>
      <c r="F469" s="6" t="s">
        <v>27</v>
      </c>
      <c r="G469" s="9" t="s">
        <v>27</v>
      </c>
      <c r="I469" s="18"/>
    </row>
    <row r="470" spans="1:9" ht="13.2" thickBot="1">
      <c r="A470" s="7" t="s">
        <v>27</v>
      </c>
      <c r="B470" s="7" t="s">
        <v>27</v>
      </c>
      <c r="C470" s="7" t="s">
        <v>27</v>
      </c>
      <c r="D470" s="8" t="s">
        <v>27</v>
      </c>
      <c r="E470" s="19" t="s">
        <v>27</v>
      </c>
      <c r="F470" s="6" t="s">
        <v>27</v>
      </c>
      <c r="G470" s="9" t="s">
        <v>27</v>
      </c>
      <c r="I470" s="18"/>
    </row>
    <row r="471" spans="1:9" ht="13.2" thickBot="1">
      <c r="A471" s="7" t="s">
        <v>27</v>
      </c>
      <c r="B471" s="7" t="s">
        <v>27</v>
      </c>
      <c r="C471" s="7" t="s">
        <v>27</v>
      </c>
      <c r="D471" s="8" t="s">
        <v>27</v>
      </c>
      <c r="E471" s="19" t="s">
        <v>27</v>
      </c>
      <c r="F471" s="6" t="s">
        <v>27</v>
      </c>
      <c r="G471" s="9" t="s">
        <v>27</v>
      </c>
      <c r="I471" s="18"/>
    </row>
    <row r="472" spans="1:9" ht="13.2" thickBot="1">
      <c r="A472" s="7" t="s">
        <v>27</v>
      </c>
      <c r="B472" s="7" t="s">
        <v>27</v>
      </c>
      <c r="C472" s="7" t="s">
        <v>27</v>
      </c>
      <c r="D472" s="8" t="s">
        <v>27</v>
      </c>
      <c r="E472" s="19" t="s">
        <v>27</v>
      </c>
      <c r="F472" s="6" t="s">
        <v>27</v>
      </c>
      <c r="G472" s="9" t="s">
        <v>27</v>
      </c>
      <c r="I472" s="18"/>
    </row>
    <row r="473" spans="1:9" ht="13.2" thickBot="1">
      <c r="A473" s="7" t="s">
        <v>27</v>
      </c>
      <c r="B473" s="7" t="s">
        <v>27</v>
      </c>
      <c r="C473" s="7" t="s">
        <v>27</v>
      </c>
      <c r="D473" s="8" t="s">
        <v>27</v>
      </c>
      <c r="E473" s="19" t="s">
        <v>27</v>
      </c>
      <c r="F473" s="6" t="s">
        <v>27</v>
      </c>
      <c r="G473" s="9" t="s">
        <v>27</v>
      </c>
      <c r="I473" s="18"/>
    </row>
    <row r="474" spans="1:9" ht="13.2" thickBot="1">
      <c r="A474" s="7" t="s">
        <v>27</v>
      </c>
      <c r="B474" s="7" t="s">
        <v>27</v>
      </c>
      <c r="C474" s="7" t="s">
        <v>27</v>
      </c>
      <c r="D474" s="8" t="s">
        <v>27</v>
      </c>
      <c r="E474" s="19" t="s">
        <v>27</v>
      </c>
      <c r="F474" s="6" t="s">
        <v>27</v>
      </c>
      <c r="G474" s="9" t="s">
        <v>27</v>
      </c>
      <c r="I474" s="18"/>
    </row>
    <row r="475" spans="1:9" ht="13.2" thickBot="1">
      <c r="A475" s="7" t="s">
        <v>27</v>
      </c>
      <c r="B475" s="7" t="s">
        <v>27</v>
      </c>
      <c r="C475" s="7" t="s">
        <v>27</v>
      </c>
      <c r="D475" s="8" t="s">
        <v>27</v>
      </c>
      <c r="E475" s="19" t="s">
        <v>27</v>
      </c>
      <c r="F475" s="6" t="s">
        <v>27</v>
      </c>
      <c r="G475" s="9" t="s">
        <v>27</v>
      </c>
      <c r="I475" s="18"/>
    </row>
    <row r="476" spans="1:9" ht="13.2" thickBot="1">
      <c r="A476" s="7" t="s">
        <v>27</v>
      </c>
      <c r="B476" s="7" t="s">
        <v>27</v>
      </c>
      <c r="C476" s="7" t="s">
        <v>27</v>
      </c>
      <c r="D476" s="8" t="s">
        <v>27</v>
      </c>
      <c r="E476" s="19" t="s">
        <v>27</v>
      </c>
      <c r="F476" s="6" t="s">
        <v>27</v>
      </c>
      <c r="G476" s="9" t="s">
        <v>27</v>
      </c>
      <c r="I476" s="18"/>
    </row>
    <row r="477" spans="1:9" ht="13.2" thickBot="1">
      <c r="A477" s="7" t="s">
        <v>27</v>
      </c>
      <c r="B477" s="7" t="s">
        <v>27</v>
      </c>
      <c r="C477" s="7" t="s">
        <v>27</v>
      </c>
      <c r="D477" s="8" t="s">
        <v>27</v>
      </c>
      <c r="E477" s="19" t="s">
        <v>27</v>
      </c>
      <c r="F477" s="6" t="s">
        <v>27</v>
      </c>
      <c r="G477" s="9" t="s">
        <v>27</v>
      </c>
      <c r="I477" s="18"/>
    </row>
    <row r="478" spans="1:9" ht="13.2" thickBot="1">
      <c r="A478" s="7" t="s">
        <v>27</v>
      </c>
      <c r="B478" s="7" t="s">
        <v>27</v>
      </c>
      <c r="C478" s="7" t="s">
        <v>27</v>
      </c>
      <c r="D478" s="8" t="s">
        <v>27</v>
      </c>
      <c r="E478" s="19" t="s">
        <v>27</v>
      </c>
      <c r="F478" s="6" t="s">
        <v>27</v>
      </c>
      <c r="G478" s="9" t="s">
        <v>27</v>
      </c>
      <c r="I478" s="18"/>
    </row>
    <row r="479" spans="1:9" ht="13.2" thickBot="1">
      <c r="A479" s="7" t="s">
        <v>27</v>
      </c>
      <c r="B479" s="7" t="s">
        <v>27</v>
      </c>
      <c r="C479" s="7" t="s">
        <v>27</v>
      </c>
      <c r="D479" s="8" t="s">
        <v>27</v>
      </c>
      <c r="E479" s="19" t="s">
        <v>27</v>
      </c>
      <c r="F479" s="6" t="s">
        <v>27</v>
      </c>
      <c r="G479" s="9" t="s">
        <v>27</v>
      </c>
      <c r="I479" s="18"/>
    </row>
    <row r="480" spans="1:9" ht="13.2" thickBot="1">
      <c r="A480" s="7" t="s">
        <v>27</v>
      </c>
      <c r="B480" s="7" t="s">
        <v>27</v>
      </c>
      <c r="C480" s="7" t="s">
        <v>27</v>
      </c>
      <c r="D480" s="8" t="s">
        <v>27</v>
      </c>
      <c r="E480" s="19" t="s">
        <v>27</v>
      </c>
      <c r="F480" s="6" t="s">
        <v>27</v>
      </c>
      <c r="G480" s="9" t="s">
        <v>27</v>
      </c>
      <c r="I480" s="18"/>
    </row>
    <row r="481" spans="1:9" ht="13.2" thickBot="1">
      <c r="A481" s="7" t="s">
        <v>27</v>
      </c>
      <c r="B481" s="7" t="s">
        <v>27</v>
      </c>
      <c r="C481" s="7" t="s">
        <v>27</v>
      </c>
      <c r="D481" s="8" t="s">
        <v>27</v>
      </c>
      <c r="E481" s="19" t="s">
        <v>27</v>
      </c>
      <c r="F481" s="6" t="s">
        <v>27</v>
      </c>
      <c r="G481" s="9" t="s">
        <v>27</v>
      </c>
      <c r="I481" s="18"/>
    </row>
    <row r="482" spans="1:9" ht="13.2" thickBot="1">
      <c r="A482" s="7" t="s">
        <v>27</v>
      </c>
      <c r="B482" s="7" t="s">
        <v>27</v>
      </c>
      <c r="C482" s="7" t="s">
        <v>27</v>
      </c>
      <c r="D482" s="8" t="s">
        <v>27</v>
      </c>
      <c r="E482" s="19" t="s">
        <v>27</v>
      </c>
      <c r="F482" s="6" t="s">
        <v>27</v>
      </c>
      <c r="G482" s="9" t="s">
        <v>27</v>
      </c>
      <c r="I482" s="18"/>
    </row>
    <row r="483" spans="1:9" ht="13.2" thickBot="1">
      <c r="A483" s="7" t="s">
        <v>27</v>
      </c>
      <c r="B483" s="7" t="s">
        <v>27</v>
      </c>
      <c r="C483" s="7" t="s">
        <v>27</v>
      </c>
      <c r="D483" s="8" t="s">
        <v>27</v>
      </c>
      <c r="E483" s="19" t="s">
        <v>27</v>
      </c>
      <c r="F483" s="6" t="s">
        <v>27</v>
      </c>
      <c r="G483" s="9" t="s">
        <v>27</v>
      </c>
      <c r="I483" s="18"/>
    </row>
    <row r="484" spans="1:9" ht="13.2" thickBot="1">
      <c r="A484" s="7" t="s">
        <v>27</v>
      </c>
      <c r="B484" s="7" t="s">
        <v>27</v>
      </c>
      <c r="C484" s="7" t="s">
        <v>27</v>
      </c>
      <c r="D484" s="8" t="s">
        <v>27</v>
      </c>
      <c r="E484" s="19" t="s">
        <v>27</v>
      </c>
      <c r="F484" s="6" t="s">
        <v>27</v>
      </c>
      <c r="G484" s="9" t="s">
        <v>27</v>
      </c>
      <c r="I484" s="18"/>
    </row>
    <row r="485" spans="1:9" ht="13.2" thickBot="1">
      <c r="A485" s="7" t="s">
        <v>27</v>
      </c>
      <c r="B485" s="7" t="s">
        <v>27</v>
      </c>
      <c r="C485" s="7" t="s">
        <v>27</v>
      </c>
      <c r="D485" s="8" t="s">
        <v>27</v>
      </c>
      <c r="E485" s="19" t="s">
        <v>27</v>
      </c>
      <c r="F485" s="6" t="s">
        <v>27</v>
      </c>
      <c r="G485" s="9" t="s">
        <v>27</v>
      </c>
      <c r="I485" s="18"/>
    </row>
    <row r="486" spans="1:9" ht="13.2" thickBot="1">
      <c r="A486" s="7" t="s">
        <v>27</v>
      </c>
      <c r="B486" s="7" t="s">
        <v>27</v>
      </c>
      <c r="C486" s="7" t="s">
        <v>27</v>
      </c>
      <c r="D486" s="8" t="s">
        <v>27</v>
      </c>
      <c r="E486" s="19" t="s">
        <v>27</v>
      </c>
      <c r="F486" s="6" t="s">
        <v>27</v>
      </c>
      <c r="G486" s="9" t="s">
        <v>27</v>
      </c>
      <c r="I486" s="18"/>
    </row>
    <row r="487" spans="1:9" ht="13.2" thickBot="1">
      <c r="A487" s="7" t="s">
        <v>27</v>
      </c>
      <c r="B487" s="7" t="s">
        <v>27</v>
      </c>
      <c r="C487" s="7" t="s">
        <v>27</v>
      </c>
      <c r="D487" s="8" t="s">
        <v>27</v>
      </c>
      <c r="E487" s="19" t="s">
        <v>27</v>
      </c>
      <c r="F487" s="6" t="s">
        <v>27</v>
      </c>
      <c r="G487" s="9" t="s">
        <v>27</v>
      </c>
      <c r="I487" s="18"/>
    </row>
    <row r="488" spans="1:9" ht="13.2" thickBot="1">
      <c r="A488" s="7" t="s">
        <v>27</v>
      </c>
      <c r="B488" s="7" t="s">
        <v>27</v>
      </c>
      <c r="C488" s="7" t="s">
        <v>27</v>
      </c>
      <c r="D488" s="8" t="s">
        <v>27</v>
      </c>
      <c r="E488" s="19" t="s">
        <v>27</v>
      </c>
      <c r="F488" s="6" t="s">
        <v>27</v>
      </c>
      <c r="G488" s="9" t="s">
        <v>27</v>
      </c>
      <c r="I488" s="18"/>
    </row>
    <row r="489" spans="1:9" ht="13.2" thickBot="1">
      <c r="A489" s="7" t="s">
        <v>27</v>
      </c>
      <c r="B489" s="7" t="s">
        <v>27</v>
      </c>
      <c r="C489" s="7" t="s">
        <v>27</v>
      </c>
      <c r="D489" s="8" t="s">
        <v>27</v>
      </c>
      <c r="E489" s="19" t="s">
        <v>27</v>
      </c>
      <c r="F489" s="6" t="s">
        <v>27</v>
      </c>
      <c r="G489" s="9" t="s">
        <v>27</v>
      </c>
      <c r="I489" s="18"/>
    </row>
    <row r="490" spans="1:9" ht="13.2" thickBot="1">
      <c r="A490" s="7" t="s">
        <v>27</v>
      </c>
      <c r="B490" s="7" t="s">
        <v>27</v>
      </c>
      <c r="C490" s="7" t="s">
        <v>27</v>
      </c>
      <c r="D490" s="8" t="s">
        <v>27</v>
      </c>
      <c r="E490" s="19" t="s">
        <v>27</v>
      </c>
      <c r="F490" s="6" t="s">
        <v>27</v>
      </c>
      <c r="G490" s="9" t="s">
        <v>27</v>
      </c>
      <c r="I490" s="18"/>
    </row>
    <row r="491" spans="1:9" ht="13.2" thickBot="1">
      <c r="A491" s="7" t="s">
        <v>27</v>
      </c>
      <c r="B491" s="7" t="s">
        <v>27</v>
      </c>
      <c r="C491" s="7" t="s">
        <v>27</v>
      </c>
      <c r="D491" s="8" t="s">
        <v>27</v>
      </c>
      <c r="E491" s="19" t="s">
        <v>27</v>
      </c>
      <c r="F491" s="6" t="s">
        <v>27</v>
      </c>
      <c r="G491" s="9" t="s">
        <v>27</v>
      </c>
      <c r="I491" s="18"/>
    </row>
    <row r="492" spans="1:9" ht="13.2" thickBot="1">
      <c r="A492" s="7" t="s">
        <v>27</v>
      </c>
      <c r="B492" s="7" t="s">
        <v>27</v>
      </c>
      <c r="C492" s="7" t="s">
        <v>27</v>
      </c>
      <c r="D492" s="8" t="s">
        <v>27</v>
      </c>
      <c r="E492" s="19" t="s">
        <v>27</v>
      </c>
      <c r="F492" s="6" t="s">
        <v>27</v>
      </c>
      <c r="G492" s="9" t="s">
        <v>27</v>
      </c>
      <c r="I492" s="18"/>
    </row>
    <row r="493" spans="1:9" ht="13.2" thickBot="1">
      <c r="A493" s="7" t="s">
        <v>27</v>
      </c>
      <c r="B493" s="7" t="s">
        <v>27</v>
      </c>
      <c r="C493" s="7" t="s">
        <v>27</v>
      </c>
      <c r="D493" s="8" t="s">
        <v>27</v>
      </c>
      <c r="E493" s="19" t="s">
        <v>27</v>
      </c>
      <c r="F493" s="6" t="s">
        <v>27</v>
      </c>
      <c r="G493" s="9" t="s">
        <v>27</v>
      </c>
      <c r="I493" s="18"/>
    </row>
    <row r="494" spans="1:9" ht="13.2" thickBot="1">
      <c r="A494" s="7" t="s">
        <v>27</v>
      </c>
      <c r="B494" s="7" t="s">
        <v>27</v>
      </c>
      <c r="C494" s="7" t="s">
        <v>27</v>
      </c>
      <c r="D494" s="8" t="s">
        <v>27</v>
      </c>
      <c r="E494" s="19" t="s">
        <v>27</v>
      </c>
      <c r="F494" s="6" t="s">
        <v>27</v>
      </c>
      <c r="G494" s="9" t="s">
        <v>27</v>
      </c>
      <c r="I494" s="18"/>
    </row>
    <row r="495" spans="1:9" ht="13.2" thickBot="1">
      <c r="A495" s="7" t="s">
        <v>27</v>
      </c>
      <c r="B495" s="7" t="s">
        <v>27</v>
      </c>
      <c r="C495" s="7" t="s">
        <v>27</v>
      </c>
      <c r="D495" s="8" t="s">
        <v>27</v>
      </c>
      <c r="E495" s="19" t="s">
        <v>27</v>
      </c>
      <c r="F495" s="6" t="s">
        <v>27</v>
      </c>
      <c r="G495" s="9" t="s">
        <v>27</v>
      </c>
      <c r="I495" s="18"/>
    </row>
    <row r="496" spans="1:9" ht="13.2" thickBot="1">
      <c r="A496" s="7" t="s">
        <v>27</v>
      </c>
      <c r="B496" s="7" t="s">
        <v>27</v>
      </c>
      <c r="C496" s="7" t="s">
        <v>27</v>
      </c>
      <c r="D496" s="8" t="s">
        <v>27</v>
      </c>
      <c r="E496" s="19" t="s">
        <v>27</v>
      </c>
      <c r="F496" s="6" t="s">
        <v>27</v>
      </c>
      <c r="G496" s="9" t="s">
        <v>27</v>
      </c>
      <c r="I496" s="18"/>
    </row>
    <row r="497" spans="1:9" ht="13.2" thickBot="1">
      <c r="A497" s="7" t="s">
        <v>27</v>
      </c>
      <c r="B497" s="7" t="s">
        <v>27</v>
      </c>
      <c r="C497" s="7" t="s">
        <v>27</v>
      </c>
      <c r="D497" s="8" t="s">
        <v>27</v>
      </c>
      <c r="E497" s="19" t="s">
        <v>27</v>
      </c>
      <c r="F497" s="6" t="s">
        <v>27</v>
      </c>
      <c r="G497" s="9" t="s">
        <v>27</v>
      </c>
      <c r="I497" s="18"/>
    </row>
    <row r="498" spans="1:9" ht="13.2" thickBot="1">
      <c r="A498" s="7" t="s">
        <v>27</v>
      </c>
      <c r="B498" s="7" t="s">
        <v>27</v>
      </c>
      <c r="C498" s="7" t="s">
        <v>27</v>
      </c>
      <c r="D498" s="8" t="s">
        <v>27</v>
      </c>
      <c r="E498" s="19" t="s">
        <v>27</v>
      </c>
      <c r="F498" s="6" t="s">
        <v>27</v>
      </c>
      <c r="G498" s="9" t="s">
        <v>27</v>
      </c>
      <c r="I498" s="18"/>
    </row>
    <row r="499" spans="1:9" ht="13.2" thickBot="1">
      <c r="A499" s="7" t="s">
        <v>27</v>
      </c>
      <c r="B499" s="7" t="s">
        <v>27</v>
      </c>
      <c r="C499" s="7" t="s">
        <v>27</v>
      </c>
      <c r="D499" s="8" t="s">
        <v>27</v>
      </c>
      <c r="E499" s="19" t="s">
        <v>27</v>
      </c>
      <c r="F499" s="6" t="s">
        <v>27</v>
      </c>
      <c r="G499" s="9" t="s">
        <v>27</v>
      </c>
      <c r="I499" s="18"/>
    </row>
    <row r="500" spans="1:9" ht="13.2" thickBot="1">
      <c r="A500" s="7" t="s">
        <v>27</v>
      </c>
      <c r="B500" s="7" t="s">
        <v>27</v>
      </c>
      <c r="C500" s="7" t="s">
        <v>27</v>
      </c>
      <c r="D500" s="8" t="s">
        <v>27</v>
      </c>
      <c r="E500" s="19" t="s">
        <v>27</v>
      </c>
      <c r="F500" s="6" t="s">
        <v>27</v>
      </c>
      <c r="G500" s="9" t="s">
        <v>27</v>
      </c>
      <c r="I500" s="18"/>
    </row>
    <row r="501" spans="1:9" ht="13.2" thickBot="1">
      <c r="A501" s="7" t="s">
        <v>27</v>
      </c>
      <c r="B501" s="7" t="s">
        <v>27</v>
      </c>
      <c r="C501" s="7" t="s">
        <v>27</v>
      </c>
      <c r="D501" s="8" t="s">
        <v>27</v>
      </c>
      <c r="E501" s="19" t="s">
        <v>27</v>
      </c>
      <c r="F501" s="6" t="s">
        <v>27</v>
      </c>
      <c r="G501" s="9" t="s">
        <v>27</v>
      </c>
      <c r="I501" s="18"/>
    </row>
    <row r="502" spans="1:9" ht="13.2" thickBot="1">
      <c r="A502" s="7" t="s">
        <v>27</v>
      </c>
      <c r="B502" s="7" t="s">
        <v>27</v>
      </c>
      <c r="C502" s="7" t="s">
        <v>27</v>
      </c>
      <c r="D502" s="8" t="s">
        <v>27</v>
      </c>
      <c r="E502" s="19" t="s">
        <v>27</v>
      </c>
      <c r="F502" s="6" t="s">
        <v>27</v>
      </c>
      <c r="G502" s="9" t="s">
        <v>27</v>
      </c>
      <c r="I502" s="18"/>
    </row>
    <row r="503" spans="1:9" ht="13.2" thickBot="1">
      <c r="A503" s="7" t="s">
        <v>27</v>
      </c>
      <c r="B503" s="7" t="s">
        <v>27</v>
      </c>
      <c r="C503" s="7" t="s">
        <v>27</v>
      </c>
      <c r="D503" s="8" t="s">
        <v>27</v>
      </c>
      <c r="E503" s="19" t="s">
        <v>27</v>
      </c>
      <c r="F503" s="6" t="s">
        <v>27</v>
      </c>
      <c r="G503" s="9" t="s">
        <v>27</v>
      </c>
      <c r="I503" s="18"/>
    </row>
    <row r="504" spans="1:9" ht="13.2" thickBot="1">
      <c r="A504" s="7" t="s">
        <v>27</v>
      </c>
      <c r="B504" s="7" t="s">
        <v>27</v>
      </c>
      <c r="C504" s="7" t="s">
        <v>27</v>
      </c>
      <c r="D504" s="8" t="s">
        <v>27</v>
      </c>
      <c r="E504" s="19" t="s">
        <v>27</v>
      </c>
      <c r="F504" s="6" t="s">
        <v>27</v>
      </c>
      <c r="G504" s="9" t="s">
        <v>27</v>
      </c>
      <c r="I504" s="18"/>
    </row>
    <row r="505" spans="1:9" ht="13.2" thickBot="1">
      <c r="A505" s="7" t="s">
        <v>27</v>
      </c>
      <c r="B505" s="7" t="s">
        <v>27</v>
      </c>
      <c r="C505" s="7" t="s">
        <v>27</v>
      </c>
      <c r="D505" s="8" t="s">
        <v>27</v>
      </c>
      <c r="E505" s="19" t="s">
        <v>27</v>
      </c>
      <c r="F505" s="6" t="s">
        <v>27</v>
      </c>
      <c r="G505" s="9" t="s">
        <v>27</v>
      </c>
      <c r="I505" s="18"/>
    </row>
    <row r="506" spans="1:9" ht="13.2" thickBot="1">
      <c r="A506" s="7" t="s">
        <v>27</v>
      </c>
      <c r="B506" s="7" t="s">
        <v>27</v>
      </c>
      <c r="C506" s="7" t="s">
        <v>27</v>
      </c>
      <c r="D506" s="8" t="s">
        <v>27</v>
      </c>
      <c r="E506" s="19" t="s">
        <v>27</v>
      </c>
      <c r="F506" s="6" t="s">
        <v>27</v>
      </c>
      <c r="G506" s="9" t="s">
        <v>27</v>
      </c>
      <c r="I506" s="18"/>
    </row>
    <row r="507" spans="1:9" ht="13.2" thickBot="1">
      <c r="A507" s="7" t="s">
        <v>27</v>
      </c>
      <c r="B507" s="7" t="s">
        <v>27</v>
      </c>
      <c r="C507" s="7" t="s">
        <v>27</v>
      </c>
      <c r="D507" s="8" t="s">
        <v>27</v>
      </c>
      <c r="E507" s="19" t="s">
        <v>27</v>
      </c>
      <c r="F507" s="6" t="s">
        <v>27</v>
      </c>
      <c r="G507" s="9" t="s">
        <v>27</v>
      </c>
      <c r="I507" s="18"/>
    </row>
    <row r="508" spans="1:9" ht="13.2" thickBot="1">
      <c r="A508" s="7" t="s">
        <v>27</v>
      </c>
      <c r="B508" s="7" t="s">
        <v>27</v>
      </c>
      <c r="C508" s="7" t="s">
        <v>27</v>
      </c>
      <c r="D508" s="8" t="s">
        <v>27</v>
      </c>
      <c r="E508" s="19" t="s">
        <v>27</v>
      </c>
      <c r="F508" s="6" t="s">
        <v>27</v>
      </c>
      <c r="G508" s="9" t="s">
        <v>27</v>
      </c>
      <c r="I508" s="18"/>
    </row>
    <row r="509" spans="1:9" ht="13.2" thickBot="1">
      <c r="A509" s="7" t="s">
        <v>27</v>
      </c>
      <c r="B509" s="7" t="s">
        <v>27</v>
      </c>
      <c r="C509" s="7" t="s">
        <v>27</v>
      </c>
      <c r="D509" s="8" t="s">
        <v>27</v>
      </c>
      <c r="E509" s="19" t="s">
        <v>27</v>
      </c>
      <c r="F509" s="6" t="s">
        <v>27</v>
      </c>
      <c r="G509" s="9" t="s">
        <v>27</v>
      </c>
      <c r="I509" s="18"/>
    </row>
    <row r="510" spans="1:9" ht="13.2" thickBot="1">
      <c r="A510" s="7" t="s">
        <v>27</v>
      </c>
      <c r="B510" s="7" t="s">
        <v>27</v>
      </c>
      <c r="C510" s="7" t="s">
        <v>27</v>
      </c>
      <c r="D510" s="8" t="s">
        <v>27</v>
      </c>
      <c r="E510" s="19" t="s">
        <v>27</v>
      </c>
      <c r="F510" s="6" t="s">
        <v>27</v>
      </c>
      <c r="G510" s="9" t="s">
        <v>27</v>
      </c>
      <c r="I510" s="18"/>
    </row>
    <row r="511" spans="1:9" ht="13.2" thickBot="1">
      <c r="A511" s="7" t="s">
        <v>27</v>
      </c>
      <c r="B511" s="7" t="s">
        <v>27</v>
      </c>
      <c r="C511" s="7" t="s">
        <v>27</v>
      </c>
      <c r="D511" s="8" t="s">
        <v>27</v>
      </c>
      <c r="E511" s="19" t="s">
        <v>27</v>
      </c>
      <c r="F511" s="6" t="s">
        <v>27</v>
      </c>
      <c r="G511" s="9" t="s">
        <v>27</v>
      </c>
      <c r="I511" s="18"/>
    </row>
    <row r="512" spans="1:9" ht="13.2" thickBot="1">
      <c r="A512" s="7" t="s">
        <v>27</v>
      </c>
      <c r="B512" s="7" t="s">
        <v>27</v>
      </c>
      <c r="C512" s="7" t="s">
        <v>27</v>
      </c>
      <c r="D512" s="8" t="s">
        <v>27</v>
      </c>
      <c r="E512" s="19" t="s">
        <v>27</v>
      </c>
      <c r="F512" s="6" t="s">
        <v>27</v>
      </c>
      <c r="G512" s="9" t="s">
        <v>27</v>
      </c>
      <c r="I512" s="18"/>
    </row>
    <row r="513" spans="1:9" ht="13.2" thickBot="1">
      <c r="A513" s="7" t="s">
        <v>27</v>
      </c>
      <c r="B513" s="7" t="s">
        <v>27</v>
      </c>
      <c r="C513" s="7" t="s">
        <v>27</v>
      </c>
      <c r="D513" s="8" t="s">
        <v>27</v>
      </c>
      <c r="E513" s="19" t="s">
        <v>27</v>
      </c>
      <c r="F513" s="6" t="s">
        <v>27</v>
      </c>
      <c r="G513" s="9" t="s">
        <v>27</v>
      </c>
      <c r="I513" s="18"/>
    </row>
    <row r="514" spans="1:9" ht="13.2" thickBot="1">
      <c r="A514" s="7" t="s">
        <v>27</v>
      </c>
      <c r="B514" s="7" t="s">
        <v>27</v>
      </c>
      <c r="C514" s="7" t="s">
        <v>27</v>
      </c>
      <c r="D514" s="8" t="s">
        <v>27</v>
      </c>
      <c r="E514" s="19" t="s">
        <v>27</v>
      </c>
      <c r="F514" s="6" t="s">
        <v>27</v>
      </c>
      <c r="G514" s="9" t="s">
        <v>27</v>
      </c>
      <c r="I514" s="18"/>
    </row>
    <row r="515" spans="1:9" ht="13.2" thickBot="1">
      <c r="A515" s="7" t="s">
        <v>27</v>
      </c>
      <c r="B515" s="7" t="s">
        <v>27</v>
      </c>
      <c r="C515" s="7" t="s">
        <v>27</v>
      </c>
      <c r="D515" s="8" t="s">
        <v>27</v>
      </c>
      <c r="E515" s="19" t="s">
        <v>27</v>
      </c>
      <c r="F515" s="6" t="s">
        <v>27</v>
      </c>
      <c r="G515" s="9" t="s">
        <v>27</v>
      </c>
      <c r="I515" s="18"/>
    </row>
    <row r="516" spans="1:9" ht="13.2" thickBot="1">
      <c r="A516" s="7" t="s">
        <v>27</v>
      </c>
      <c r="B516" s="7" t="s">
        <v>27</v>
      </c>
      <c r="C516" s="7" t="s">
        <v>27</v>
      </c>
      <c r="D516" s="8" t="s">
        <v>27</v>
      </c>
      <c r="E516" s="19" t="s">
        <v>27</v>
      </c>
      <c r="F516" s="6" t="s">
        <v>27</v>
      </c>
      <c r="G516" s="9" t="s">
        <v>27</v>
      </c>
      <c r="I516" s="18"/>
    </row>
    <row r="517" spans="1:9" ht="13.2" thickBot="1">
      <c r="A517" s="7" t="s">
        <v>27</v>
      </c>
      <c r="B517" s="7" t="s">
        <v>27</v>
      </c>
      <c r="C517" s="7" t="s">
        <v>27</v>
      </c>
      <c r="D517" s="8" t="s">
        <v>27</v>
      </c>
      <c r="E517" s="19" t="s">
        <v>27</v>
      </c>
      <c r="F517" s="6" t="s">
        <v>27</v>
      </c>
      <c r="G517" s="9" t="s">
        <v>27</v>
      </c>
      <c r="I517" s="18"/>
    </row>
    <row r="518" spans="1:9" ht="13.2" thickBot="1">
      <c r="A518" s="7" t="s">
        <v>27</v>
      </c>
      <c r="B518" s="7" t="s">
        <v>27</v>
      </c>
      <c r="C518" s="7" t="s">
        <v>27</v>
      </c>
      <c r="D518" s="8" t="s">
        <v>27</v>
      </c>
      <c r="E518" s="19" t="s">
        <v>27</v>
      </c>
      <c r="F518" s="6" t="s">
        <v>27</v>
      </c>
      <c r="G518" s="9" t="s">
        <v>27</v>
      </c>
      <c r="I518" s="18"/>
    </row>
    <row r="519" spans="1:9" ht="13.2" thickBot="1">
      <c r="A519" s="7" t="s">
        <v>27</v>
      </c>
      <c r="B519" s="7" t="s">
        <v>27</v>
      </c>
      <c r="C519" s="7" t="s">
        <v>27</v>
      </c>
      <c r="D519" s="8" t="s">
        <v>27</v>
      </c>
      <c r="E519" s="19" t="s">
        <v>27</v>
      </c>
      <c r="F519" s="6" t="s">
        <v>27</v>
      </c>
      <c r="G519" s="9" t="s">
        <v>27</v>
      </c>
      <c r="I519" s="18"/>
    </row>
    <row r="520" spans="1:9" ht="13.2" thickBot="1">
      <c r="A520" s="7" t="s">
        <v>27</v>
      </c>
      <c r="B520" s="7" t="s">
        <v>27</v>
      </c>
      <c r="C520" s="7" t="s">
        <v>27</v>
      </c>
      <c r="D520" s="8" t="s">
        <v>27</v>
      </c>
      <c r="E520" s="19" t="s">
        <v>27</v>
      </c>
      <c r="F520" s="6" t="s">
        <v>27</v>
      </c>
      <c r="G520" s="9" t="s">
        <v>27</v>
      </c>
      <c r="I520" s="18"/>
    </row>
    <row r="521" spans="1:9" ht="13.2" thickBot="1">
      <c r="A521" s="7" t="s">
        <v>27</v>
      </c>
      <c r="B521" s="7" t="s">
        <v>27</v>
      </c>
      <c r="C521" s="7" t="s">
        <v>27</v>
      </c>
      <c r="D521" s="8" t="s">
        <v>27</v>
      </c>
      <c r="E521" s="19" t="s">
        <v>27</v>
      </c>
      <c r="F521" s="6" t="s">
        <v>27</v>
      </c>
      <c r="G521" s="9" t="s">
        <v>27</v>
      </c>
      <c r="I521" s="18"/>
    </row>
    <row r="522" spans="1:9" ht="13.2" thickBot="1">
      <c r="A522" s="7" t="s">
        <v>27</v>
      </c>
      <c r="B522" s="7" t="s">
        <v>27</v>
      </c>
      <c r="C522" s="7" t="s">
        <v>27</v>
      </c>
      <c r="D522" s="8" t="s">
        <v>27</v>
      </c>
      <c r="E522" s="19" t="s">
        <v>27</v>
      </c>
      <c r="F522" s="6" t="s">
        <v>27</v>
      </c>
      <c r="G522" s="9" t="s">
        <v>27</v>
      </c>
      <c r="I522" s="18"/>
    </row>
    <row r="523" spans="1:9" ht="13.2" thickBot="1">
      <c r="A523" s="7" t="s">
        <v>27</v>
      </c>
      <c r="B523" s="7" t="s">
        <v>27</v>
      </c>
      <c r="C523" s="7" t="s">
        <v>27</v>
      </c>
      <c r="D523" s="8" t="s">
        <v>27</v>
      </c>
      <c r="E523" s="19" t="s">
        <v>27</v>
      </c>
      <c r="F523" s="6" t="s">
        <v>27</v>
      </c>
      <c r="G523" s="9" t="s">
        <v>27</v>
      </c>
      <c r="I523" s="18"/>
    </row>
    <row r="524" spans="1:9" ht="13.2" thickBot="1">
      <c r="A524" s="7" t="s">
        <v>27</v>
      </c>
      <c r="B524" s="7" t="s">
        <v>27</v>
      </c>
      <c r="C524" s="7" t="s">
        <v>27</v>
      </c>
      <c r="D524" s="8" t="s">
        <v>27</v>
      </c>
      <c r="E524" s="19" t="s">
        <v>27</v>
      </c>
      <c r="F524" s="6" t="s">
        <v>27</v>
      </c>
      <c r="G524" s="9" t="s">
        <v>27</v>
      </c>
      <c r="I524" s="18"/>
    </row>
    <row r="525" spans="1:9" ht="13.2" thickBot="1">
      <c r="A525" s="7" t="s">
        <v>27</v>
      </c>
      <c r="B525" s="7" t="s">
        <v>27</v>
      </c>
      <c r="C525" s="7" t="s">
        <v>27</v>
      </c>
      <c r="D525" s="8" t="s">
        <v>27</v>
      </c>
      <c r="E525" s="19" t="s">
        <v>27</v>
      </c>
      <c r="F525" s="6" t="s">
        <v>27</v>
      </c>
      <c r="G525" s="9" t="s">
        <v>27</v>
      </c>
      <c r="I525" s="18"/>
    </row>
    <row r="526" spans="1:9" ht="13.2" thickBot="1">
      <c r="A526" s="7" t="s">
        <v>27</v>
      </c>
      <c r="B526" s="7" t="s">
        <v>27</v>
      </c>
      <c r="C526" s="7" t="s">
        <v>27</v>
      </c>
      <c r="D526" s="8" t="s">
        <v>27</v>
      </c>
      <c r="E526" s="19" t="s">
        <v>27</v>
      </c>
      <c r="F526" s="6" t="s">
        <v>27</v>
      </c>
      <c r="G526" s="9" t="s">
        <v>27</v>
      </c>
      <c r="I526" s="18"/>
    </row>
    <row r="527" spans="1:9" ht="13.2" thickBot="1">
      <c r="A527" s="7" t="s">
        <v>27</v>
      </c>
      <c r="B527" s="7" t="s">
        <v>27</v>
      </c>
      <c r="C527" s="7" t="s">
        <v>27</v>
      </c>
      <c r="D527" s="8" t="s">
        <v>27</v>
      </c>
      <c r="E527" s="19" t="s">
        <v>27</v>
      </c>
      <c r="F527" s="6" t="s">
        <v>27</v>
      </c>
      <c r="G527" s="9" t="s">
        <v>27</v>
      </c>
      <c r="I527" s="18"/>
    </row>
    <row r="528" spans="1:9" ht="13.2" thickBot="1">
      <c r="A528" s="7" t="s">
        <v>27</v>
      </c>
      <c r="B528" s="7" t="s">
        <v>27</v>
      </c>
      <c r="C528" s="7" t="s">
        <v>27</v>
      </c>
      <c r="D528" s="8" t="s">
        <v>27</v>
      </c>
      <c r="E528" s="19" t="s">
        <v>27</v>
      </c>
      <c r="F528" s="6" t="s">
        <v>27</v>
      </c>
      <c r="G528" s="9" t="s">
        <v>27</v>
      </c>
      <c r="I528" s="18"/>
    </row>
    <row r="529" spans="1:9" ht="13.2" thickBot="1">
      <c r="A529" s="7" t="s">
        <v>27</v>
      </c>
      <c r="B529" s="7" t="s">
        <v>27</v>
      </c>
      <c r="C529" s="7" t="s">
        <v>27</v>
      </c>
      <c r="D529" s="8" t="s">
        <v>27</v>
      </c>
      <c r="E529" s="19" t="s">
        <v>27</v>
      </c>
      <c r="F529" s="6" t="s">
        <v>27</v>
      </c>
      <c r="G529" s="9" t="s">
        <v>27</v>
      </c>
      <c r="I529" s="18"/>
    </row>
    <row r="530" spans="1:9" ht="13.2" thickBot="1">
      <c r="A530" s="7" t="s">
        <v>27</v>
      </c>
      <c r="B530" s="7" t="s">
        <v>27</v>
      </c>
      <c r="C530" s="7" t="s">
        <v>27</v>
      </c>
      <c r="D530" s="8" t="s">
        <v>27</v>
      </c>
      <c r="E530" s="19" t="s">
        <v>27</v>
      </c>
      <c r="F530" s="6" t="s">
        <v>27</v>
      </c>
      <c r="G530" s="9" t="s">
        <v>27</v>
      </c>
      <c r="I530" s="18"/>
    </row>
    <row r="531" spans="1:9" ht="13.2" thickBot="1">
      <c r="A531" s="7" t="s">
        <v>27</v>
      </c>
      <c r="B531" s="7" t="s">
        <v>27</v>
      </c>
      <c r="C531" s="7" t="s">
        <v>27</v>
      </c>
      <c r="D531" s="8" t="s">
        <v>27</v>
      </c>
      <c r="E531" s="19" t="s">
        <v>27</v>
      </c>
      <c r="F531" s="6" t="s">
        <v>27</v>
      </c>
      <c r="G531" s="9" t="s">
        <v>27</v>
      </c>
      <c r="I531" s="18"/>
    </row>
    <row r="532" spans="1:9" ht="13.2" thickBot="1">
      <c r="A532" s="7" t="s">
        <v>27</v>
      </c>
      <c r="B532" s="7" t="s">
        <v>27</v>
      </c>
      <c r="C532" s="7" t="s">
        <v>27</v>
      </c>
      <c r="D532" s="8" t="s">
        <v>27</v>
      </c>
      <c r="E532" s="19" t="s">
        <v>27</v>
      </c>
      <c r="F532" s="6" t="s">
        <v>27</v>
      </c>
      <c r="G532" s="9" t="s">
        <v>27</v>
      </c>
      <c r="I532" s="18"/>
    </row>
    <row r="533" spans="1:9" ht="13.2" thickBot="1">
      <c r="A533" s="7" t="s">
        <v>27</v>
      </c>
      <c r="B533" s="7" t="s">
        <v>27</v>
      </c>
      <c r="C533" s="7" t="s">
        <v>27</v>
      </c>
      <c r="D533" s="8" t="s">
        <v>27</v>
      </c>
      <c r="E533" s="19" t="s">
        <v>27</v>
      </c>
      <c r="F533" s="6" t="s">
        <v>27</v>
      </c>
      <c r="G533" s="9" t="s">
        <v>27</v>
      </c>
      <c r="I533" s="18"/>
    </row>
    <row r="534" spans="1:9" ht="13.2" thickBot="1">
      <c r="A534" s="7" t="s">
        <v>27</v>
      </c>
      <c r="B534" s="7" t="s">
        <v>27</v>
      </c>
      <c r="C534" s="7" t="s">
        <v>27</v>
      </c>
      <c r="D534" s="8" t="s">
        <v>27</v>
      </c>
      <c r="E534" s="19" t="s">
        <v>27</v>
      </c>
      <c r="F534" s="6" t="s">
        <v>27</v>
      </c>
      <c r="G534" s="9" t="s">
        <v>27</v>
      </c>
      <c r="I534" s="18"/>
    </row>
    <row r="535" spans="1:9" ht="13.2" thickBot="1">
      <c r="A535" s="7" t="s">
        <v>27</v>
      </c>
      <c r="B535" s="7" t="s">
        <v>27</v>
      </c>
      <c r="C535" s="7" t="s">
        <v>27</v>
      </c>
      <c r="D535" s="8" t="s">
        <v>27</v>
      </c>
      <c r="E535" s="19" t="s">
        <v>27</v>
      </c>
      <c r="F535" s="6" t="s">
        <v>27</v>
      </c>
      <c r="G535" s="9" t="s">
        <v>27</v>
      </c>
      <c r="I535" s="18"/>
    </row>
    <row r="536" spans="1:9" ht="13.2" thickBot="1">
      <c r="A536" s="7" t="s">
        <v>27</v>
      </c>
      <c r="B536" s="7" t="s">
        <v>27</v>
      </c>
      <c r="C536" s="7" t="s">
        <v>27</v>
      </c>
      <c r="D536" s="8" t="s">
        <v>27</v>
      </c>
      <c r="E536" s="19" t="s">
        <v>27</v>
      </c>
      <c r="F536" s="6" t="s">
        <v>27</v>
      </c>
      <c r="G536" s="9" t="s">
        <v>27</v>
      </c>
      <c r="I536" s="18"/>
    </row>
    <row r="537" spans="1:9" ht="13.2" thickBot="1">
      <c r="A537" s="7" t="s">
        <v>27</v>
      </c>
      <c r="B537" s="7" t="s">
        <v>27</v>
      </c>
      <c r="C537" s="7" t="s">
        <v>27</v>
      </c>
      <c r="D537" s="8" t="s">
        <v>27</v>
      </c>
      <c r="E537" s="19" t="s">
        <v>27</v>
      </c>
      <c r="F537" s="6" t="s">
        <v>27</v>
      </c>
      <c r="G537" s="9" t="s">
        <v>27</v>
      </c>
      <c r="I537" s="18"/>
    </row>
    <row r="538" spans="1:9" ht="13.2" thickBot="1">
      <c r="A538" s="7" t="s">
        <v>27</v>
      </c>
      <c r="B538" s="7" t="s">
        <v>27</v>
      </c>
      <c r="C538" s="7" t="s">
        <v>27</v>
      </c>
      <c r="D538" s="8" t="s">
        <v>27</v>
      </c>
      <c r="E538" s="19" t="s">
        <v>27</v>
      </c>
      <c r="F538" s="6" t="s">
        <v>27</v>
      </c>
      <c r="G538" s="9" t="s">
        <v>27</v>
      </c>
      <c r="I538" s="18"/>
    </row>
    <row r="539" spans="1:9" ht="13.2" thickBot="1">
      <c r="A539" s="7" t="s">
        <v>27</v>
      </c>
      <c r="B539" s="7" t="s">
        <v>27</v>
      </c>
      <c r="C539" s="7" t="s">
        <v>27</v>
      </c>
      <c r="D539" s="8" t="s">
        <v>27</v>
      </c>
      <c r="E539" s="19" t="s">
        <v>27</v>
      </c>
      <c r="F539" s="6" t="s">
        <v>27</v>
      </c>
      <c r="G539" s="9" t="s">
        <v>27</v>
      </c>
      <c r="I539" s="18"/>
    </row>
    <row r="540" spans="1:9" ht="13.2" thickBot="1">
      <c r="A540" s="7" t="s">
        <v>27</v>
      </c>
      <c r="B540" s="7" t="s">
        <v>27</v>
      </c>
      <c r="C540" s="7" t="s">
        <v>27</v>
      </c>
      <c r="D540" s="8" t="s">
        <v>27</v>
      </c>
      <c r="E540" s="19" t="s">
        <v>27</v>
      </c>
      <c r="F540" s="6" t="s">
        <v>27</v>
      </c>
      <c r="G540" s="9" t="s">
        <v>27</v>
      </c>
      <c r="I540" s="18"/>
    </row>
    <row r="541" spans="1:9" ht="13.2" thickBot="1">
      <c r="A541" s="7" t="s">
        <v>27</v>
      </c>
      <c r="B541" s="7" t="s">
        <v>27</v>
      </c>
      <c r="C541" s="7" t="s">
        <v>27</v>
      </c>
      <c r="D541" s="8" t="s">
        <v>27</v>
      </c>
      <c r="E541" s="19" t="s">
        <v>27</v>
      </c>
      <c r="F541" s="6" t="s">
        <v>27</v>
      </c>
      <c r="G541" s="9" t="s">
        <v>27</v>
      </c>
      <c r="I541" s="18"/>
    </row>
    <row r="542" spans="1:9" ht="13.2" thickBot="1">
      <c r="A542" s="7" t="s">
        <v>27</v>
      </c>
      <c r="B542" s="7" t="s">
        <v>27</v>
      </c>
      <c r="C542" s="7" t="s">
        <v>27</v>
      </c>
      <c r="D542" s="8" t="s">
        <v>27</v>
      </c>
      <c r="E542" s="19" t="s">
        <v>27</v>
      </c>
      <c r="F542" s="6" t="s">
        <v>27</v>
      </c>
      <c r="G542" s="9" t="s">
        <v>27</v>
      </c>
      <c r="I542" s="18"/>
    </row>
    <row r="543" spans="1:9" ht="13.2" thickBot="1">
      <c r="A543" s="7" t="s">
        <v>27</v>
      </c>
      <c r="B543" s="7" t="s">
        <v>27</v>
      </c>
      <c r="C543" s="7" t="s">
        <v>27</v>
      </c>
      <c r="D543" s="8" t="s">
        <v>27</v>
      </c>
      <c r="E543" s="19" t="s">
        <v>27</v>
      </c>
      <c r="F543" s="6" t="s">
        <v>27</v>
      </c>
      <c r="G543" s="9" t="s">
        <v>27</v>
      </c>
      <c r="I543" s="18"/>
    </row>
    <row r="544" spans="1:9" ht="13.2" thickBot="1">
      <c r="A544" s="7" t="s">
        <v>27</v>
      </c>
      <c r="B544" s="7" t="s">
        <v>27</v>
      </c>
      <c r="C544" s="7" t="s">
        <v>27</v>
      </c>
      <c r="D544" s="8" t="s">
        <v>27</v>
      </c>
      <c r="E544" s="19" t="s">
        <v>27</v>
      </c>
      <c r="F544" s="6" t="s">
        <v>27</v>
      </c>
      <c r="G544" s="9" t="s">
        <v>27</v>
      </c>
      <c r="I544" s="18"/>
    </row>
    <row r="545" spans="1:9" ht="13.2" thickBot="1">
      <c r="A545" s="7" t="s">
        <v>27</v>
      </c>
      <c r="B545" s="7" t="s">
        <v>27</v>
      </c>
      <c r="C545" s="7" t="s">
        <v>27</v>
      </c>
      <c r="D545" s="8" t="s">
        <v>27</v>
      </c>
      <c r="E545" s="19" t="s">
        <v>27</v>
      </c>
      <c r="F545" s="6" t="s">
        <v>27</v>
      </c>
      <c r="G545" s="9" t="s">
        <v>27</v>
      </c>
      <c r="I545" s="18"/>
    </row>
    <row r="546" spans="1:9" ht="13.2" thickBot="1">
      <c r="A546" s="7" t="s">
        <v>27</v>
      </c>
      <c r="B546" s="7" t="s">
        <v>27</v>
      </c>
      <c r="C546" s="7" t="s">
        <v>27</v>
      </c>
      <c r="D546" s="8" t="s">
        <v>27</v>
      </c>
      <c r="E546" s="19" t="s">
        <v>27</v>
      </c>
      <c r="F546" s="6" t="s">
        <v>27</v>
      </c>
      <c r="G546" s="9" t="s">
        <v>27</v>
      </c>
      <c r="I546" s="18"/>
    </row>
    <row r="547" spans="1:9" ht="13.2" thickBot="1">
      <c r="A547" s="7" t="s">
        <v>27</v>
      </c>
      <c r="B547" s="7" t="s">
        <v>27</v>
      </c>
      <c r="C547" s="7" t="s">
        <v>27</v>
      </c>
      <c r="D547" s="8" t="s">
        <v>27</v>
      </c>
      <c r="E547" s="19" t="s">
        <v>27</v>
      </c>
      <c r="F547" s="6" t="s">
        <v>27</v>
      </c>
      <c r="G547" s="9" t="s">
        <v>27</v>
      </c>
      <c r="I547" s="18"/>
    </row>
    <row r="548" spans="1:9" ht="13.2" thickBot="1">
      <c r="A548" s="7" t="s">
        <v>27</v>
      </c>
      <c r="B548" s="7" t="s">
        <v>27</v>
      </c>
      <c r="C548" s="7" t="s">
        <v>27</v>
      </c>
      <c r="D548" s="8" t="s">
        <v>27</v>
      </c>
      <c r="E548" s="19" t="s">
        <v>27</v>
      </c>
      <c r="F548" s="6" t="s">
        <v>27</v>
      </c>
      <c r="G548" s="9" t="s">
        <v>27</v>
      </c>
      <c r="I548" s="18"/>
    </row>
    <row r="549" spans="1:9" ht="13.2" thickBot="1">
      <c r="A549" s="7" t="s">
        <v>27</v>
      </c>
      <c r="B549" s="7" t="s">
        <v>27</v>
      </c>
      <c r="C549" s="7" t="s">
        <v>27</v>
      </c>
      <c r="D549" s="8" t="s">
        <v>27</v>
      </c>
      <c r="E549" s="19" t="s">
        <v>27</v>
      </c>
      <c r="F549" s="6" t="s">
        <v>27</v>
      </c>
      <c r="G549" s="9" t="s">
        <v>27</v>
      </c>
      <c r="I549" s="18"/>
    </row>
    <row r="550" spans="1:9" ht="13.2" thickBot="1">
      <c r="A550" s="7" t="s">
        <v>27</v>
      </c>
      <c r="B550" s="7" t="s">
        <v>27</v>
      </c>
      <c r="C550" s="7" t="s">
        <v>27</v>
      </c>
      <c r="D550" s="8" t="s">
        <v>27</v>
      </c>
      <c r="E550" s="19" t="s">
        <v>27</v>
      </c>
      <c r="F550" s="6" t="s">
        <v>27</v>
      </c>
      <c r="G550" s="9" t="s">
        <v>27</v>
      </c>
      <c r="I550" s="18"/>
    </row>
    <row r="551" spans="1:9" ht="13.2" thickBot="1">
      <c r="A551" s="7" t="s">
        <v>27</v>
      </c>
      <c r="B551" s="7" t="s">
        <v>27</v>
      </c>
      <c r="C551" s="7" t="s">
        <v>27</v>
      </c>
      <c r="D551" s="8" t="s">
        <v>27</v>
      </c>
      <c r="E551" s="19" t="s">
        <v>27</v>
      </c>
      <c r="F551" s="6" t="s">
        <v>27</v>
      </c>
      <c r="G551" s="9" t="s">
        <v>27</v>
      </c>
      <c r="I551" s="18"/>
    </row>
    <row r="552" spans="1:9" ht="13.2" thickBot="1">
      <c r="A552" s="7" t="s">
        <v>27</v>
      </c>
      <c r="B552" s="7" t="s">
        <v>27</v>
      </c>
      <c r="C552" s="7" t="s">
        <v>27</v>
      </c>
      <c r="D552" s="8" t="s">
        <v>27</v>
      </c>
      <c r="E552" s="19" t="s">
        <v>27</v>
      </c>
      <c r="F552" s="6" t="s">
        <v>27</v>
      </c>
      <c r="G552" s="9" t="s">
        <v>27</v>
      </c>
      <c r="I552" s="18"/>
    </row>
    <row r="553" spans="1:9" ht="13.2" thickBot="1">
      <c r="A553" s="7" t="s">
        <v>27</v>
      </c>
      <c r="B553" s="7" t="s">
        <v>27</v>
      </c>
      <c r="C553" s="7" t="s">
        <v>27</v>
      </c>
      <c r="D553" s="8" t="s">
        <v>27</v>
      </c>
      <c r="E553" s="19" t="s">
        <v>27</v>
      </c>
      <c r="F553" s="6" t="s">
        <v>27</v>
      </c>
      <c r="G553" s="9" t="s">
        <v>27</v>
      </c>
      <c r="I553" s="18"/>
    </row>
    <row r="554" spans="1:9" ht="13.2" thickBot="1">
      <c r="A554" s="7" t="s">
        <v>27</v>
      </c>
      <c r="B554" s="7" t="s">
        <v>27</v>
      </c>
      <c r="C554" s="7" t="s">
        <v>27</v>
      </c>
      <c r="D554" s="8" t="s">
        <v>27</v>
      </c>
      <c r="E554" s="19" t="s">
        <v>27</v>
      </c>
      <c r="F554" s="6" t="s">
        <v>27</v>
      </c>
      <c r="G554" s="9" t="s">
        <v>27</v>
      </c>
      <c r="I554" s="18"/>
    </row>
    <row r="555" spans="1:9" ht="13.2" thickBot="1">
      <c r="A555" s="7" t="s">
        <v>27</v>
      </c>
      <c r="B555" s="7" t="s">
        <v>27</v>
      </c>
      <c r="C555" s="7" t="s">
        <v>27</v>
      </c>
      <c r="D555" s="8" t="s">
        <v>27</v>
      </c>
      <c r="E555" s="19" t="s">
        <v>27</v>
      </c>
      <c r="F555" s="6" t="s">
        <v>27</v>
      </c>
      <c r="G555" s="9" t="s">
        <v>27</v>
      </c>
      <c r="I555" s="18"/>
    </row>
    <row r="556" spans="1:9" ht="13.2" thickBot="1">
      <c r="A556" s="7" t="s">
        <v>27</v>
      </c>
      <c r="B556" s="7" t="s">
        <v>27</v>
      </c>
      <c r="C556" s="7" t="s">
        <v>27</v>
      </c>
      <c r="D556" s="8" t="s">
        <v>27</v>
      </c>
      <c r="E556" s="19" t="s">
        <v>27</v>
      </c>
      <c r="F556" s="6" t="s">
        <v>27</v>
      </c>
      <c r="G556" s="9" t="s">
        <v>27</v>
      </c>
      <c r="I556" s="18"/>
    </row>
    <row r="557" spans="1:9" ht="13.2" thickBot="1">
      <c r="A557" s="7" t="s">
        <v>27</v>
      </c>
      <c r="B557" s="7" t="s">
        <v>27</v>
      </c>
      <c r="C557" s="7" t="s">
        <v>27</v>
      </c>
      <c r="D557" s="8" t="s">
        <v>27</v>
      </c>
      <c r="E557" s="19" t="s">
        <v>27</v>
      </c>
      <c r="F557" s="6" t="s">
        <v>27</v>
      </c>
      <c r="G557" s="9" t="s">
        <v>27</v>
      </c>
      <c r="I557" s="18"/>
    </row>
    <row r="558" spans="1:9" ht="13.2" thickBot="1">
      <c r="A558" s="7" t="s">
        <v>27</v>
      </c>
      <c r="B558" s="7" t="s">
        <v>27</v>
      </c>
      <c r="C558" s="7" t="s">
        <v>27</v>
      </c>
      <c r="D558" s="8" t="s">
        <v>27</v>
      </c>
      <c r="E558" s="19" t="s">
        <v>27</v>
      </c>
      <c r="F558" s="6" t="s">
        <v>27</v>
      </c>
      <c r="G558" s="9" t="s">
        <v>27</v>
      </c>
      <c r="I558" s="18"/>
    </row>
    <row r="559" spans="1:9" ht="13.2" thickBot="1">
      <c r="A559" s="7" t="s">
        <v>27</v>
      </c>
      <c r="B559" s="7" t="s">
        <v>27</v>
      </c>
      <c r="C559" s="7" t="s">
        <v>27</v>
      </c>
      <c r="D559" s="8" t="s">
        <v>27</v>
      </c>
      <c r="E559" s="19" t="s">
        <v>27</v>
      </c>
      <c r="F559" s="6" t="s">
        <v>27</v>
      </c>
      <c r="G559" s="9" t="s">
        <v>27</v>
      </c>
      <c r="I559" s="18"/>
    </row>
    <row r="560" spans="1:9" ht="13.2" thickBot="1">
      <c r="A560" s="7" t="s">
        <v>27</v>
      </c>
      <c r="B560" s="7" t="s">
        <v>27</v>
      </c>
      <c r="C560" s="7" t="s">
        <v>27</v>
      </c>
      <c r="D560" s="8" t="s">
        <v>27</v>
      </c>
      <c r="E560" s="19" t="s">
        <v>27</v>
      </c>
      <c r="F560" s="6" t="s">
        <v>27</v>
      </c>
      <c r="G560" s="9" t="s">
        <v>27</v>
      </c>
      <c r="I560" s="18"/>
    </row>
    <row r="561" spans="1:9" ht="13.2" thickBot="1">
      <c r="A561" s="7" t="s">
        <v>27</v>
      </c>
      <c r="B561" s="7" t="s">
        <v>27</v>
      </c>
      <c r="C561" s="7" t="s">
        <v>27</v>
      </c>
      <c r="D561" s="8" t="s">
        <v>27</v>
      </c>
      <c r="E561" s="19" t="s">
        <v>27</v>
      </c>
      <c r="F561" s="6" t="s">
        <v>27</v>
      </c>
      <c r="G561" s="9" t="s">
        <v>27</v>
      </c>
      <c r="I561" s="18"/>
    </row>
    <row r="562" spans="1:9" ht="13.2" thickBot="1">
      <c r="A562" s="7" t="s">
        <v>27</v>
      </c>
      <c r="B562" s="7" t="s">
        <v>27</v>
      </c>
      <c r="C562" s="7" t="s">
        <v>27</v>
      </c>
      <c r="D562" s="8" t="s">
        <v>27</v>
      </c>
      <c r="E562" s="19" t="s">
        <v>27</v>
      </c>
      <c r="F562" s="6" t="s">
        <v>27</v>
      </c>
      <c r="G562" s="9" t="s">
        <v>27</v>
      </c>
      <c r="I562" s="18"/>
    </row>
    <row r="563" spans="1:9" ht="13.2" thickBot="1">
      <c r="A563" s="7" t="s">
        <v>27</v>
      </c>
      <c r="B563" s="7" t="s">
        <v>27</v>
      </c>
      <c r="C563" s="7" t="s">
        <v>27</v>
      </c>
      <c r="D563" s="8" t="s">
        <v>27</v>
      </c>
      <c r="E563" s="19" t="s">
        <v>27</v>
      </c>
      <c r="F563" s="6" t="s">
        <v>27</v>
      </c>
      <c r="G563" s="9" t="s">
        <v>27</v>
      </c>
      <c r="I563" s="18"/>
    </row>
    <row r="564" spans="1:9" ht="13.2" thickBot="1">
      <c r="A564" s="7" t="s">
        <v>27</v>
      </c>
      <c r="B564" s="7" t="s">
        <v>27</v>
      </c>
      <c r="C564" s="7" t="s">
        <v>27</v>
      </c>
      <c r="D564" s="8" t="s">
        <v>27</v>
      </c>
      <c r="E564" s="19" t="s">
        <v>27</v>
      </c>
      <c r="F564" s="6" t="s">
        <v>27</v>
      </c>
      <c r="G564" s="9" t="s">
        <v>27</v>
      </c>
      <c r="I564" s="18"/>
    </row>
    <row r="565" spans="1:9" ht="13.2" thickBot="1">
      <c r="A565" s="7" t="s">
        <v>27</v>
      </c>
      <c r="B565" s="7" t="s">
        <v>27</v>
      </c>
      <c r="C565" s="7" t="s">
        <v>27</v>
      </c>
      <c r="D565" s="8" t="s">
        <v>27</v>
      </c>
      <c r="E565" s="19" t="s">
        <v>27</v>
      </c>
      <c r="F565" s="6" t="s">
        <v>27</v>
      </c>
      <c r="G565" s="9" t="s">
        <v>27</v>
      </c>
      <c r="I565" s="18"/>
    </row>
    <row r="566" spans="1:9" ht="13.2" thickBot="1">
      <c r="A566" s="7" t="s">
        <v>27</v>
      </c>
      <c r="B566" s="7" t="s">
        <v>27</v>
      </c>
      <c r="C566" s="7" t="s">
        <v>27</v>
      </c>
      <c r="D566" s="8" t="s">
        <v>27</v>
      </c>
      <c r="E566" s="19" t="s">
        <v>27</v>
      </c>
      <c r="F566" s="6" t="s">
        <v>27</v>
      </c>
      <c r="G566" s="9" t="s">
        <v>27</v>
      </c>
      <c r="I566" s="18"/>
    </row>
    <row r="567" spans="1:9" ht="13.2" thickBot="1">
      <c r="A567" s="7" t="s">
        <v>27</v>
      </c>
      <c r="B567" s="7" t="s">
        <v>27</v>
      </c>
      <c r="C567" s="7" t="s">
        <v>27</v>
      </c>
      <c r="D567" s="8" t="s">
        <v>27</v>
      </c>
      <c r="E567" s="19" t="s">
        <v>27</v>
      </c>
      <c r="F567" s="6" t="s">
        <v>27</v>
      </c>
      <c r="G567" s="9" t="s">
        <v>27</v>
      </c>
      <c r="I567" s="18"/>
    </row>
    <row r="568" spans="1:9" ht="13.2" thickBot="1">
      <c r="A568" s="7" t="s">
        <v>27</v>
      </c>
      <c r="B568" s="7" t="s">
        <v>27</v>
      </c>
      <c r="C568" s="7" t="s">
        <v>27</v>
      </c>
      <c r="D568" s="8" t="s">
        <v>27</v>
      </c>
      <c r="E568" s="19" t="s">
        <v>27</v>
      </c>
      <c r="F568" s="6" t="s">
        <v>27</v>
      </c>
      <c r="G568" s="9" t="s">
        <v>27</v>
      </c>
      <c r="I568" s="18"/>
    </row>
    <row r="569" spans="1:9" ht="13.2" thickBot="1">
      <c r="A569" s="7" t="s">
        <v>27</v>
      </c>
      <c r="B569" s="7" t="s">
        <v>27</v>
      </c>
      <c r="C569" s="7" t="s">
        <v>27</v>
      </c>
      <c r="D569" s="8" t="s">
        <v>27</v>
      </c>
      <c r="E569" s="19" t="s">
        <v>27</v>
      </c>
      <c r="F569" s="6" t="s">
        <v>27</v>
      </c>
      <c r="G569" s="9" t="s">
        <v>27</v>
      </c>
      <c r="I569" s="18"/>
    </row>
    <row r="570" spans="1:9" ht="13.2" thickBot="1">
      <c r="A570" s="7" t="s">
        <v>27</v>
      </c>
      <c r="B570" s="7" t="s">
        <v>27</v>
      </c>
      <c r="C570" s="7" t="s">
        <v>27</v>
      </c>
      <c r="D570" s="8" t="s">
        <v>27</v>
      </c>
      <c r="E570" s="19" t="s">
        <v>27</v>
      </c>
      <c r="F570" s="6" t="s">
        <v>27</v>
      </c>
      <c r="G570" s="9" t="s">
        <v>27</v>
      </c>
      <c r="I570" s="18"/>
    </row>
    <row r="571" spans="1:9" ht="13.2" thickBot="1">
      <c r="A571" s="7" t="s">
        <v>27</v>
      </c>
      <c r="B571" s="7" t="s">
        <v>27</v>
      </c>
      <c r="C571" s="7" t="s">
        <v>27</v>
      </c>
      <c r="D571" s="8" t="s">
        <v>27</v>
      </c>
      <c r="E571" s="19" t="s">
        <v>27</v>
      </c>
      <c r="F571" s="6" t="s">
        <v>27</v>
      </c>
      <c r="G571" s="9" t="s">
        <v>27</v>
      </c>
      <c r="I571" s="18"/>
    </row>
    <row r="572" spans="1:9" ht="13.2" thickBot="1">
      <c r="A572" s="7" t="s">
        <v>27</v>
      </c>
      <c r="B572" s="7" t="s">
        <v>27</v>
      </c>
      <c r="C572" s="7" t="s">
        <v>27</v>
      </c>
      <c r="D572" s="8" t="s">
        <v>27</v>
      </c>
      <c r="E572" s="19" t="s">
        <v>27</v>
      </c>
      <c r="F572" s="6" t="s">
        <v>27</v>
      </c>
      <c r="G572" s="9" t="s">
        <v>27</v>
      </c>
      <c r="I572" s="18"/>
    </row>
    <row r="573" spans="1:9" ht="13.2" thickBot="1">
      <c r="A573" s="7" t="s">
        <v>27</v>
      </c>
      <c r="B573" s="7" t="s">
        <v>27</v>
      </c>
      <c r="C573" s="7" t="s">
        <v>27</v>
      </c>
      <c r="D573" s="8" t="s">
        <v>27</v>
      </c>
      <c r="E573" s="19" t="s">
        <v>27</v>
      </c>
      <c r="F573" s="6" t="s">
        <v>27</v>
      </c>
      <c r="G573" s="9" t="s">
        <v>27</v>
      </c>
      <c r="I573" s="18"/>
    </row>
    <row r="574" spans="1:9" ht="13.2" thickBot="1">
      <c r="A574" s="7" t="s">
        <v>27</v>
      </c>
      <c r="B574" s="7" t="s">
        <v>27</v>
      </c>
      <c r="C574" s="7" t="s">
        <v>27</v>
      </c>
      <c r="D574" s="8" t="s">
        <v>27</v>
      </c>
      <c r="E574" s="19" t="s">
        <v>27</v>
      </c>
      <c r="F574" s="6" t="s">
        <v>27</v>
      </c>
      <c r="G574" s="9" t="s">
        <v>27</v>
      </c>
      <c r="I574" s="18"/>
    </row>
    <row r="575" spans="1:9" ht="13.2" thickBot="1">
      <c r="A575" s="7" t="s">
        <v>27</v>
      </c>
      <c r="B575" s="7" t="s">
        <v>27</v>
      </c>
      <c r="C575" s="7" t="s">
        <v>27</v>
      </c>
      <c r="D575" s="8" t="s">
        <v>27</v>
      </c>
      <c r="E575" s="19" t="s">
        <v>27</v>
      </c>
      <c r="F575" s="6" t="s">
        <v>27</v>
      </c>
      <c r="G575" s="9" t="s">
        <v>27</v>
      </c>
      <c r="I575" s="18"/>
    </row>
    <row r="576" spans="1:9" ht="13.2" thickBot="1">
      <c r="A576" s="7" t="s">
        <v>27</v>
      </c>
      <c r="B576" s="7" t="s">
        <v>27</v>
      </c>
      <c r="C576" s="7" t="s">
        <v>27</v>
      </c>
      <c r="D576" s="8" t="s">
        <v>27</v>
      </c>
      <c r="E576" s="19" t="s">
        <v>27</v>
      </c>
      <c r="F576" s="6" t="s">
        <v>27</v>
      </c>
      <c r="G576" s="9" t="s">
        <v>27</v>
      </c>
      <c r="I576" s="18"/>
    </row>
    <row r="577" spans="1:9" ht="13.2" thickBot="1">
      <c r="A577" s="7" t="s">
        <v>27</v>
      </c>
      <c r="B577" s="7" t="s">
        <v>27</v>
      </c>
      <c r="C577" s="7" t="s">
        <v>27</v>
      </c>
      <c r="D577" s="8" t="s">
        <v>27</v>
      </c>
      <c r="E577" s="19" t="s">
        <v>27</v>
      </c>
      <c r="F577" s="6" t="s">
        <v>27</v>
      </c>
      <c r="G577" s="9" t="s">
        <v>27</v>
      </c>
      <c r="I577" s="18"/>
    </row>
    <row r="578" spans="1:9" ht="13.2" thickBot="1">
      <c r="A578" s="7" t="s">
        <v>27</v>
      </c>
      <c r="B578" s="7" t="s">
        <v>27</v>
      </c>
      <c r="C578" s="7" t="s">
        <v>27</v>
      </c>
      <c r="D578" s="8" t="s">
        <v>27</v>
      </c>
      <c r="E578" s="19" t="s">
        <v>27</v>
      </c>
      <c r="F578" s="6" t="s">
        <v>27</v>
      </c>
      <c r="G578" s="9" t="s">
        <v>27</v>
      </c>
      <c r="I578" s="18"/>
    </row>
    <row r="579" spans="1:9" ht="13.2" thickBot="1">
      <c r="A579" s="7" t="s">
        <v>27</v>
      </c>
      <c r="B579" s="7" t="s">
        <v>27</v>
      </c>
      <c r="C579" s="7" t="s">
        <v>27</v>
      </c>
      <c r="D579" s="8" t="s">
        <v>27</v>
      </c>
      <c r="E579" s="19" t="s">
        <v>27</v>
      </c>
      <c r="F579" s="6" t="s">
        <v>27</v>
      </c>
      <c r="G579" s="9" t="s">
        <v>27</v>
      </c>
      <c r="I579" s="18"/>
    </row>
    <row r="580" spans="1:9" ht="13.2" thickBot="1">
      <c r="A580" s="7" t="s">
        <v>27</v>
      </c>
      <c r="B580" s="7" t="s">
        <v>27</v>
      </c>
      <c r="C580" s="7" t="s">
        <v>27</v>
      </c>
      <c r="D580" s="8" t="s">
        <v>27</v>
      </c>
      <c r="E580" s="19" t="s">
        <v>27</v>
      </c>
      <c r="F580" s="6" t="s">
        <v>27</v>
      </c>
      <c r="G580" s="9" t="s">
        <v>27</v>
      </c>
      <c r="I580" s="18"/>
    </row>
    <row r="581" spans="1:9" ht="13.2" thickBot="1">
      <c r="A581" s="7" t="s">
        <v>27</v>
      </c>
      <c r="B581" s="7" t="s">
        <v>27</v>
      </c>
      <c r="C581" s="7" t="s">
        <v>27</v>
      </c>
      <c r="D581" s="8" t="s">
        <v>27</v>
      </c>
      <c r="E581" s="19" t="s">
        <v>27</v>
      </c>
      <c r="F581" s="6" t="s">
        <v>27</v>
      </c>
      <c r="G581" s="9" t="s">
        <v>27</v>
      </c>
      <c r="I581" s="18"/>
    </row>
    <row r="582" spans="1:9" ht="13.2" thickBot="1">
      <c r="A582" s="7" t="s">
        <v>27</v>
      </c>
      <c r="B582" s="7" t="s">
        <v>27</v>
      </c>
      <c r="C582" s="7" t="s">
        <v>27</v>
      </c>
      <c r="D582" s="8" t="s">
        <v>27</v>
      </c>
      <c r="E582" s="19" t="s">
        <v>27</v>
      </c>
      <c r="F582" s="6" t="s">
        <v>27</v>
      </c>
      <c r="G582" s="9" t="s">
        <v>27</v>
      </c>
      <c r="I582" s="18"/>
    </row>
    <row r="583" spans="1:9" ht="13.2" thickBot="1">
      <c r="A583" s="7" t="s">
        <v>27</v>
      </c>
      <c r="B583" s="7" t="s">
        <v>27</v>
      </c>
      <c r="C583" s="7" t="s">
        <v>27</v>
      </c>
      <c r="D583" s="8" t="s">
        <v>27</v>
      </c>
      <c r="E583" s="19" t="s">
        <v>27</v>
      </c>
      <c r="F583" s="6" t="s">
        <v>27</v>
      </c>
      <c r="G583" s="9" t="s">
        <v>27</v>
      </c>
      <c r="I583" s="18"/>
    </row>
    <row r="584" spans="1:9" ht="13.2" thickBot="1">
      <c r="A584" s="7" t="s">
        <v>27</v>
      </c>
      <c r="B584" s="7" t="s">
        <v>27</v>
      </c>
      <c r="C584" s="7" t="s">
        <v>27</v>
      </c>
      <c r="D584" s="8" t="s">
        <v>27</v>
      </c>
      <c r="E584" s="19" t="s">
        <v>27</v>
      </c>
      <c r="F584" s="6" t="s">
        <v>27</v>
      </c>
      <c r="G584" s="9" t="s">
        <v>27</v>
      </c>
      <c r="I584" s="18"/>
    </row>
    <row r="585" spans="1:9" ht="13.2" thickBot="1">
      <c r="A585" s="7" t="s">
        <v>27</v>
      </c>
      <c r="B585" s="7" t="s">
        <v>27</v>
      </c>
      <c r="C585" s="7" t="s">
        <v>27</v>
      </c>
      <c r="D585" s="8" t="s">
        <v>27</v>
      </c>
      <c r="E585" s="19" t="s">
        <v>27</v>
      </c>
      <c r="F585" s="6" t="s">
        <v>27</v>
      </c>
      <c r="G585" s="9" t="s">
        <v>27</v>
      </c>
      <c r="I585" s="18"/>
    </row>
    <row r="586" spans="1:9" ht="13.2" thickBot="1">
      <c r="A586" s="7" t="s">
        <v>27</v>
      </c>
      <c r="B586" s="7" t="s">
        <v>27</v>
      </c>
      <c r="C586" s="7" t="s">
        <v>27</v>
      </c>
      <c r="D586" s="8" t="s">
        <v>27</v>
      </c>
      <c r="E586" s="19" t="s">
        <v>27</v>
      </c>
      <c r="F586" s="6" t="s">
        <v>27</v>
      </c>
      <c r="G586" s="9" t="s">
        <v>27</v>
      </c>
      <c r="I586" s="18"/>
    </row>
    <row r="587" spans="1:9" ht="13.2" thickBot="1">
      <c r="A587" s="7" t="s">
        <v>27</v>
      </c>
      <c r="B587" s="7" t="s">
        <v>27</v>
      </c>
      <c r="C587" s="7" t="s">
        <v>27</v>
      </c>
      <c r="D587" s="8" t="s">
        <v>27</v>
      </c>
      <c r="E587" s="19" t="s">
        <v>27</v>
      </c>
      <c r="F587" s="6" t="s">
        <v>27</v>
      </c>
      <c r="G587" s="9" t="s">
        <v>27</v>
      </c>
      <c r="I587" s="18"/>
    </row>
    <row r="588" spans="1:9" ht="13.2" thickBot="1">
      <c r="A588" s="7" t="s">
        <v>27</v>
      </c>
      <c r="B588" s="7" t="s">
        <v>27</v>
      </c>
      <c r="C588" s="7" t="s">
        <v>27</v>
      </c>
      <c r="D588" s="8" t="s">
        <v>27</v>
      </c>
      <c r="E588" s="19" t="s">
        <v>27</v>
      </c>
      <c r="F588" s="6" t="s">
        <v>27</v>
      </c>
      <c r="G588" s="9" t="s">
        <v>27</v>
      </c>
      <c r="I588" s="18"/>
    </row>
    <row r="589" spans="1:9" ht="13.2" thickBot="1">
      <c r="A589" s="7" t="s">
        <v>27</v>
      </c>
      <c r="B589" s="7" t="s">
        <v>27</v>
      </c>
      <c r="C589" s="7" t="s">
        <v>27</v>
      </c>
      <c r="D589" s="8" t="s">
        <v>27</v>
      </c>
      <c r="E589" s="19" t="s">
        <v>27</v>
      </c>
      <c r="F589" s="6" t="s">
        <v>27</v>
      </c>
      <c r="G589" s="9" t="s">
        <v>27</v>
      </c>
      <c r="I589" s="18"/>
    </row>
    <row r="590" spans="1:9" ht="13.2" thickBot="1">
      <c r="A590" s="7" t="s">
        <v>27</v>
      </c>
      <c r="B590" s="7" t="s">
        <v>27</v>
      </c>
      <c r="C590" s="7" t="s">
        <v>27</v>
      </c>
      <c r="D590" s="8" t="s">
        <v>27</v>
      </c>
      <c r="E590" s="19" t="s">
        <v>27</v>
      </c>
      <c r="F590" s="6" t="s">
        <v>27</v>
      </c>
      <c r="G590" s="9" t="s">
        <v>27</v>
      </c>
      <c r="I590" s="18"/>
    </row>
    <row r="591" spans="1:9" ht="13.2" thickBot="1">
      <c r="A591" s="7" t="s">
        <v>27</v>
      </c>
      <c r="B591" s="7" t="s">
        <v>27</v>
      </c>
      <c r="C591" s="7" t="s">
        <v>27</v>
      </c>
      <c r="D591" s="8" t="s">
        <v>27</v>
      </c>
      <c r="E591" s="19" t="s">
        <v>27</v>
      </c>
      <c r="F591" s="6" t="s">
        <v>27</v>
      </c>
      <c r="G591" s="9" t="s">
        <v>27</v>
      </c>
      <c r="I591" s="18"/>
    </row>
    <row r="592" spans="1:9" ht="13.2" thickBot="1">
      <c r="A592" s="7" t="s">
        <v>27</v>
      </c>
      <c r="B592" s="7" t="s">
        <v>27</v>
      </c>
      <c r="C592" s="7" t="s">
        <v>27</v>
      </c>
      <c r="D592" s="8" t="s">
        <v>27</v>
      </c>
      <c r="E592" s="19" t="s">
        <v>27</v>
      </c>
      <c r="F592" s="6" t="s">
        <v>27</v>
      </c>
      <c r="G592" s="9" t="s">
        <v>27</v>
      </c>
      <c r="I592" s="18"/>
    </row>
    <row r="593" spans="1:9" ht="13.2" thickBot="1">
      <c r="A593" s="7" t="s">
        <v>27</v>
      </c>
      <c r="B593" s="7" t="s">
        <v>27</v>
      </c>
      <c r="C593" s="7" t="s">
        <v>27</v>
      </c>
      <c r="D593" s="8" t="s">
        <v>27</v>
      </c>
      <c r="E593" s="19" t="s">
        <v>27</v>
      </c>
      <c r="F593" s="6" t="s">
        <v>27</v>
      </c>
      <c r="G593" s="9" t="s">
        <v>27</v>
      </c>
      <c r="I593" s="18"/>
    </row>
    <row r="594" spans="1:9" ht="13.2" thickBot="1">
      <c r="A594" s="7" t="s">
        <v>27</v>
      </c>
      <c r="B594" s="7" t="s">
        <v>27</v>
      </c>
      <c r="C594" s="7" t="s">
        <v>27</v>
      </c>
      <c r="D594" s="8" t="s">
        <v>27</v>
      </c>
      <c r="E594" s="19" t="s">
        <v>27</v>
      </c>
      <c r="F594" s="6" t="s">
        <v>27</v>
      </c>
      <c r="G594" s="9" t="s">
        <v>27</v>
      </c>
      <c r="I594" s="18"/>
    </row>
    <row r="595" spans="1:9" ht="13.2" thickBot="1">
      <c r="A595" s="7" t="s">
        <v>27</v>
      </c>
      <c r="B595" s="7" t="s">
        <v>27</v>
      </c>
      <c r="C595" s="7" t="s">
        <v>27</v>
      </c>
      <c r="D595" s="8" t="s">
        <v>27</v>
      </c>
      <c r="E595" s="19" t="s">
        <v>27</v>
      </c>
      <c r="F595" s="6" t="s">
        <v>27</v>
      </c>
      <c r="G595" s="9" t="s">
        <v>27</v>
      </c>
      <c r="I595" s="18"/>
    </row>
    <row r="596" spans="1:9" ht="13.2" thickBot="1">
      <c r="A596" s="7" t="s">
        <v>27</v>
      </c>
      <c r="B596" s="7" t="s">
        <v>27</v>
      </c>
      <c r="C596" s="7" t="s">
        <v>27</v>
      </c>
      <c r="D596" s="8" t="s">
        <v>27</v>
      </c>
      <c r="E596" s="19" t="s">
        <v>27</v>
      </c>
      <c r="F596" s="6" t="s">
        <v>27</v>
      </c>
      <c r="G596" s="9" t="s">
        <v>27</v>
      </c>
      <c r="I596" s="18"/>
    </row>
    <row r="597" spans="1:9" ht="13.2" thickBot="1">
      <c r="A597" s="7" t="s">
        <v>27</v>
      </c>
      <c r="B597" s="7" t="s">
        <v>27</v>
      </c>
      <c r="C597" s="7" t="s">
        <v>27</v>
      </c>
      <c r="D597" s="8" t="s">
        <v>27</v>
      </c>
      <c r="E597" s="19" t="s">
        <v>27</v>
      </c>
      <c r="F597" s="6" t="s">
        <v>27</v>
      </c>
      <c r="G597" s="9" t="s">
        <v>27</v>
      </c>
      <c r="I597" s="18"/>
    </row>
    <row r="598" spans="1:9" ht="13.2" thickBot="1">
      <c r="A598" s="7" t="s">
        <v>27</v>
      </c>
      <c r="B598" s="7" t="s">
        <v>27</v>
      </c>
      <c r="C598" s="7" t="s">
        <v>27</v>
      </c>
      <c r="D598" s="8" t="s">
        <v>27</v>
      </c>
      <c r="E598" s="19" t="s">
        <v>27</v>
      </c>
      <c r="F598" s="6" t="s">
        <v>27</v>
      </c>
      <c r="G598" s="9" t="s">
        <v>27</v>
      </c>
      <c r="I598" s="18"/>
    </row>
    <row r="599" spans="1:9" ht="13.2" thickBot="1">
      <c r="A599" s="7" t="s">
        <v>27</v>
      </c>
      <c r="B599" s="7" t="s">
        <v>27</v>
      </c>
      <c r="C599" s="7" t="s">
        <v>27</v>
      </c>
      <c r="D599" s="8" t="s">
        <v>27</v>
      </c>
      <c r="E599" s="19" t="s">
        <v>27</v>
      </c>
      <c r="F599" s="6" t="s">
        <v>27</v>
      </c>
      <c r="G599" s="9" t="s">
        <v>27</v>
      </c>
      <c r="I599" s="18"/>
    </row>
    <row r="600" spans="1:9" ht="13.2" thickBot="1">
      <c r="A600" s="7" t="s">
        <v>27</v>
      </c>
      <c r="B600" s="7" t="s">
        <v>27</v>
      </c>
      <c r="C600" s="7" t="s">
        <v>27</v>
      </c>
      <c r="D600" s="8" t="s">
        <v>27</v>
      </c>
      <c r="E600" s="19" t="s">
        <v>27</v>
      </c>
      <c r="F600" s="6" t="s">
        <v>27</v>
      </c>
      <c r="G600" s="9" t="s">
        <v>27</v>
      </c>
      <c r="I600" s="18"/>
    </row>
    <row r="601" spans="1:9" ht="13.2" thickBot="1">
      <c r="A601" s="7" t="s">
        <v>27</v>
      </c>
      <c r="B601" s="7" t="s">
        <v>27</v>
      </c>
      <c r="C601" s="7" t="s">
        <v>27</v>
      </c>
      <c r="D601" s="8" t="s">
        <v>27</v>
      </c>
      <c r="E601" s="19" t="s">
        <v>27</v>
      </c>
      <c r="F601" s="6" t="s">
        <v>27</v>
      </c>
      <c r="G601" s="9" t="s">
        <v>27</v>
      </c>
      <c r="I601" s="18"/>
    </row>
    <row r="602" spans="1:9" ht="13.2" thickBot="1">
      <c r="A602" s="7" t="s">
        <v>27</v>
      </c>
      <c r="B602" s="7" t="s">
        <v>27</v>
      </c>
      <c r="C602" s="7" t="s">
        <v>27</v>
      </c>
      <c r="D602" s="8" t="s">
        <v>27</v>
      </c>
      <c r="E602" s="19" t="s">
        <v>27</v>
      </c>
      <c r="F602" s="6" t="s">
        <v>27</v>
      </c>
      <c r="G602" s="9" t="s">
        <v>27</v>
      </c>
      <c r="I602" s="18"/>
    </row>
    <row r="603" spans="1:9" ht="13.2" thickBot="1">
      <c r="A603" s="7" t="s">
        <v>27</v>
      </c>
      <c r="B603" s="7" t="s">
        <v>27</v>
      </c>
      <c r="C603" s="7" t="s">
        <v>27</v>
      </c>
      <c r="D603" s="8" t="s">
        <v>27</v>
      </c>
      <c r="E603" s="19" t="s">
        <v>27</v>
      </c>
      <c r="F603" s="6" t="s">
        <v>27</v>
      </c>
      <c r="G603" s="9" t="s">
        <v>27</v>
      </c>
      <c r="I603" s="18"/>
    </row>
    <row r="604" spans="1:9" ht="13.2" thickBot="1">
      <c r="A604" s="7" t="s">
        <v>27</v>
      </c>
      <c r="B604" s="7" t="s">
        <v>27</v>
      </c>
      <c r="C604" s="7" t="s">
        <v>27</v>
      </c>
      <c r="D604" s="8" t="s">
        <v>27</v>
      </c>
      <c r="E604" s="19" t="s">
        <v>27</v>
      </c>
      <c r="F604" s="6" t="s">
        <v>27</v>
      </c>
      <c r="G604" s="9" t="s">
        <v>27</v>
      </c>
      <c r="I604" s="18"/>
    </row>
    <row r="605" spans="1:9" ht="13.2" thickBot="1">
      <c r="A605" s="7" t="s">
        <v>27</v>
      </c>
      <c r="B605" s="7" t="s">
        <v>27</v>
      </c>
      <c r="C605" s="7" t="s">
        <v>27</v>
      </c>
      <c r="D605" s="8" t="s">
        <v>27</v>
      </c>
      <c r="E605" s="19" t="s">
        <v>27</v>
      </c>
      <c r="F605" s="6" t="s">
        <v>27</v>
      </c>
      <c r="G605" s="9" t="s">
        <v>27</v>
      </c>
      <c r="I605" s="18"/>
    </row>
    <row r="606" spans="1:9" ht="13.2" thickBot="1">
      <c r="A606" s="7" t="s">
        <v>27</v>
      </c>
      <c r="B606" s="7" t="s">
        <v>27</v>
      </c>
      <c r="C606" s="7" t="s">
        <v>27</v>
      </c>
      <c r="D606" s="8" t="s">
        <v>27</v>
      </c>
      <c r="E606" s="19" t="s">
        <v>27</v>
      </c>
      <c r="F606" s="6" t="s">
        <v>27</v>
      </c>
      <c r="G606" s="9" t="s">
        <v>27</v>
      </c>
      <c r="I606" s="18"/>
    </row>
    <row r="607" spans="1:9" ht="13.2" thickBot="1">
      <c r="A607" s="7" t="s">
        <v>27</v>
      </c>
      <c r="B607" s="7" t="s">
        <v>27</v>
      </c>
      <c r="C607" s="7" t="s">
        <v>27</v>
      </c>
      <c r="D607" s="8" t="s">
        <v>27</v>
      </c>
      <c r="E607" s="19" t="s">
        <v>27</v>
      </c>
      <c r="F607" s="6" t="s">
        <v>27</v>
      </c>
      <c r="G607" s="9" t="s">
        <v>27</v>
      </c>
      <c r="I607" s="18"/>
    </row>
    <row r="608" spans="1:9" ht="13.2" thickBot="1">
      <c r="A608" s="7" t="s">
        <v>27</v>
      </c>
      <c r="B608" s="7" t="s">
        <v>27</v>
      </c>
      <c r="C608" s="7" t="s">
        <v>27</v>
      </c>
      <c r="D608" s="8" t="s">
        <v>27</v>
      </c>
      <c r="E608" s="19" t="s">
        <v>27</v>
      </c>
      <c r="F608" s="6" t="s">
        <v>27</v>
      </c>
      <c r="G608" s="9" t="s">
        <v>27</v>
      </c>
      <c r="I608" s="18"/>
    </row>
    <row r="609" spans="1:9" ht="13.2" thickBot="1">
      <c r="A609" s="7" t="s">
        <v>27</v>
      </c>
      <c r="B609" s="7" t="s">
        <v>27</v>
      </c>
      <c r="C609" s="7" t="s">
        <v>27</v>
      </c>
      <c r="D609" s="8" t="s">
        <v>27</v>
      </c>
      <c r="E609" s="19" t="s">
        <v>27</v>
      </c>
      <c r="F609" s="6" t="s">
        <v>27</v>
      </c>
      <c r="G609" s="9" t="s">
        <v>27</v>
      </c>
      <c r="I609" s="18"/>
    </row>
    <row r="610" spans="1:9" ht="13.2" thickBot="1">
      <c r="A610" s="7" t="s">
        <v>27</v>
      </c>
      <c r="B610" s="7" t="s">
        <v>27</v>
      </c>
      <c r="C610" s="7" t="s">
        <v>27</v>
      </c>
      <c r="D610" s="8" t="s">
        <v>27</v>
      </c>
      <c r="E610" s="19" t="s">
        <v>27</v>
      </c>
      <c r="F610" s="6" t="s">
        <v>27</v>
      </c>
      <c r="G610" s="9" t="s">
        <v>27</v>
      </c>
      <c r="I610" s="18"/>
    </row>
    <row r="611" spans="1:9" ht="13.2" thickBot="1">
      <c r="A611" s="7" t="s">
        <v>27</v>
      </c>
      <c r="B611" s="7" t="s">
        <v>27</v>
      </c>
      <c r="C611" s="7" t="s">
        <v>27</v>
      </c>
      <c r="D611" s="8" t="s">
        <v>27</v>
      </c>
      <c r="E611" s="19" t="s">
        <v>27</v>
      </c>
      <c r="F611" s="6" t="s">
        <v>27</v>
      </c>
      <c r="G611" s="9" t="s">
        <v>27</v>
      </c>
      <c r="I611" s="18"/>
    </row>
    <row r="612" spans="1:9" ht="13.2" thickBot="1">
      <c r="A612" s="7" t="s">
        <v>27</v>
      </c>
      <c r="B612" s="7" t="s">
        <v>27</v>
      </c>
      <c r="C612" s="7" t="s">
        <v>27</v>
      </c>
      <c r="D612" s="8" t="s">
        <v>27</v>
      </c>
      <c r="E612" s="19" t="s">
        <v>27</v>
      </c>
      <c r="F612" s="6" t="s">
        <v>27</v>
      </c>
      <c r="G612" s="9" t="s">
        <v>27</v>
      </c>
      <c r="I612" s="18"/>
    </row>
    <row r="613" spans="1:9" ht="13.2" thickBot="1">
      <c r="A613" s="7" t="s">
        <v>27</v>
      </c>
      <c r="B613" s="7" t="s">
        <v>27</v>
      </c>
      <c r="C613" s="7" t="s">
        <v>27</v>
      </c>
      <c r="D613" s="8" t="s">
        <v>27</v>
      </c>
      <c r="E613" s="19" t="s">
        <v>27</v>
      </c>
      <c r="F613" s="6" t="s">
        <v>27</v>
      </c>
      <c r="G613" s="9" t="s">
        <v>27</v>
      </c>
      <c r="I613" s="18"/>
    </row>
    <row r="614" spans="1:9" ht="13.2" thickBot="1">
      <c r="A614" s="7" t="s">
        <v>27</v>
      </c>
      <c r="B614" s="7" t="s">
        <v>27</v>
      </c>
      <c r="C614" s="7" t="s">
        <v>27</v>
      </c>
      <c r="D614" s="8" t="s">
        <v>27</v>
      </c>
      <c r="E614" s="19" t="s">
        <v>27</v>
      </c>
      <c r="F614" s="6" t="s">
        <v>27</v>
      </c>
      <c r="G614" s="9" t="s">
        <v>27</v>
      </c>
      <c r="I614" s="18"/>
    </row>
    <row r="615" spans="1:9" ht="13.2" thickBot="1">
      <c r="A615" s="7" t="s">
        <v>27</v>
      </c>
      <c r="B615" s="7" t="s">
        <v>27</v>
      </c>
      <c r="C615" s="7" t="s">
        <v>27</v>
      </c>
      <c r="D615" s="8" t="s">
        <v>27</v>
      </c>
      <c r="E615" s="19" t="s">
        <v>27</v>
      </c>
      <c r="F615" s="6" t="s">
        <v>27</v>
      </c>
      <c r="G615" s="9" t="s">
        <v>27</v>
      </c>
      <c r="I615" s="18"/>
    </row>
    <row r="616" spans="1:9" ht="13.2" thickBot="1">
      <c r="A616" s="7" t="s">
        <v>27</v>
      </c>
      <c r="B616" s="7" t="s">
        <v>27</v>
      </c>
      <c r="C616" s="7" t="s">
        <v>27</v>
      </c>
      <c r="D616" s="8" t="s">
        <v>27</v>
      </c>
      <c r="E616" s="19" t="s">
        <v>27</v>
      </c>
      <c r="F616" s="6" t="s">
        <v>27</v>
      </c>
      <c r="G616" s="9" t="s">
        <v>27</v>
      </c>
      <c r="I616" s="18"/>
    </row>
    <row r="617" spans="1:9" ht="13.2" thickBot="1">
      <c r="A617" s="7" t="s">
        <v>27</v>
      </c>
      <c r="B617" s="7" t="s">
        <v>27</v>
      </c>
      <c r="C617" s="7" t="s">
        <v>27</v>
      </c>
      <c r="D617" s="8" t="s">
        <v>27</v>
      </c>
      <c r="E617" s="19" t="s">
        <v>27</v>
      </c>
      <c r="F617" s="6" t="s">
        <v>27</v>
      </c>
      <c r="G617" s="9" t="s">
        <v>27</v>
      </c>
      <c r="I617" s="18"/>
    </row>
    <row r="618" spans="1:9" ht="13.2" thickBot="1">
      <c r="A618" s="7" t="s">
        <v>27</v>
      </c>
      <c r="B618" s="7" t="s">
        <v>27</v>
      </c>
      <c r="C618" s="7" t="s">
        <v>27</v>
      </c>
      <c r="D618" s="8" t="s">
        <v>27</v>
      </c>
      <c r="E618" s="19" t="s">
        <v>27</v>
      </c>
      <c r="F618" s="6" t="s">
        <v>27</v>
      </c>
      <c r="G618" s="9" t="s">
        <v>27</v>
      </c>
      <c r="I618" s="18"/>
    </row>
    <row r="619" spans="1:9" ht="13.2" thickBot="1">
      <c r="A619" s="7" t="s">
        <v>27</v>
      </c>
      <c r="B619" s="7" t="s">
        <v>27</v>
      </c>
      <c r="C619" s="7" t="s">
        <v>27</v>
      </c>
      <c r="D619" s="8" t="s">
        <v>27</v>
      </c>
      <c r="E619" s="19" t="s">
        <v>27</v>
      </c>
      <c r="F619" s="6" t="s">
        <v>27</v>
      </c>
      <c r="G619" s="9" t="s">
        <v>27</v>
      </c>
      <c r="I619" s="18"/>
    </row>
    <row r="620" spans="1:9" ht="13.2" thickBot="1">
      <c r="A620" s="7" t="s">
        <v>27</v>
      </c>
      <c r="B620" s="7" t="s">
        <v>27</v>
      </c>
      <c r="C620" s="7" t="s">
        <v>27</v>
      </c>
      <c r="D620" s="8" t="s">
        <v>27</v>
      </c>
      <c r="E620" s="19" t="s">
        <v>27</v>
      </c>
      <c r="F620" s="6" t="s">
        <v>27</v>
      </c>
      <c r="G620" s="9" t="s">
        <v>27</v>
      </c>
      <c r="I620" s="18"/>
    </row>
    <row r="621" spans="1:9" ht="13.2" thickBot="1">
      <c r="A621" s="7" t="s">
        <v>27</v>
      </c>
      <c r="B621" s="7" t="s">
        <v>27</v>
      </c>
      <c r="C621" s="7" t="s">
        <v>27</v>
      </c>
      <c r="D621" s="8" t="s">
        <v>27</v>
      </c>
      <c r="E621" s="19" t="s">
        <v>27</v>
      </c>
      <c r="F621" s="6" t="s">
        <v>27</v>
      </c>
      <c r="G621" s="9" t="s">
        <v>27</v>
      </c>
      <c r="I621" s="18"/>
    </row>
    <row r="622" spans="1:9" ht="13.2" thickBot="1">
      <c r="A622" s="7" t="s">
        <v>27</v>
      </c>
      <c r="B622" s="7" t="s">
        <v>27</v>
      </c>
      <c r="C622" s="7" t="s">
        <v>27</v>
      </c>
      <c r="D622" s="8" t="s">
        <v>27</v>
      </c>
      <c r="E622" s="19" t="s">
        <v>27</v>
      </c>
      <c r="F622" s="6" t="s">
        <v>27</v>
      </c>
      <c r="G622" s="9" t="s">
        <v>27</v>
      </c>
      <c r="I622" s="18"/>
    </row>
    <row r="623" spans="1:9" ht="13.2" thickBot="1">
      <c r="A623" s="7" t="s">
        <v>27</v>
      </c>
      <c r="B623" s="7" t="s">
        <v>27</v>
      </c>
      <c r="C623" s="7" t="s">
        <v>27</v>
      </c>
      <c r="D623" s="8" t="s">
        <v>27</v>
      </c>
      <c r="E623" s="19" t="s">
        <v>27</v>
      </c>
      <c r="F623" s="6" t="s">
        <v>27</v>
      </c>
      <c r="G623" s="9" t="s">
        <v>27</v>
      </c>
      <c r="I623" s="18"/>
    </row>
    <row r="624" spans="1:9" ht="13.2" thickBot="1">
      <c r="A624" s="7" t="s">
        <v>27</v>
      </c>
      <c r="B624" s="7" t="s">
        <v>27</v>
      </c>
      <c r="C624" s="7" t="s">
        <v>27</v>
      </c>
      <c r="D624" s="8" t="s">
        <v>27</v>
      </c>
      <c r="E624" s="19" t="s">
        <v>27</v>
      </c>
      <c r="F624" s="6" t="s">
        <v>27</v>
      </c>
      <c r="G624" s="9" t="s">
        <v>27</v>
      </c>
      <c r="I624" s="18"/>
    </row>
    <row r="625" spans="1:9" ht="13.2" thickBot="1">
      <c r="A625" s="7" t="s">
        <v>27</v>
      </c>
      <c r="B625" s="7" t="s">
        <v>27</v>
      </c>
      <c r="C625" s="7" t="s">
        <v>27</v>
      </c>
      <c r="D625" s="8" t="s">
        <v>27</v>
      </c>
      <c r="E625" s="19" t="s">
        <v>27</v>
      </c>
      <c r="F625" s="6" t="s">
        <v>27</v>
      </c>
      <c r="G625" s="9" t="s">
        <v>27</v>
      </c>
      <c r="I625" s="18"/>
    </row>
    <row r="626" spans="1:9" ht="13.2" thickBot="1">
      <c r="A626" s="7" t="s">
        <v>27</v>
      </c>
      <c r="B626" s="7" t="s">
        <v>27</v>
      </c>
      <c r="C626" s="7" t="s">
        <v>27</v>
      </c>
      <c r="D626" s="8" t="s">
        <v>27</v>
      </c>
      <c r="E626" s="19" t="s">
        <v>27</v>
      </c>
      <c r="F626" s="6" t="s">
        <v>27</v>
      </c>
      <c r="G626" s="9" t="s">
        <v>27</v>
      </c>
      <c r="I626" s="18"/>
    </row>
    <row r="627" spans="1:9" ht="13.2" thickBot="1">
      <c r="A627" s="7" t="s">
        <v>27</v>
      </c>
      <c r="B627" s="7" t="s">
        <v>27</v>
      </c>
      <c r="C627" s="7" t="s">
        <v>27</v>
      </c>
      <c r="D627" s="8" t="s">
        <v>27</v>
      </c>
      <c r="E627" s="19" t="s">
        <v>27</v>
      </c>
      <c r="F627" s="6" t="s">
        <v>27</v>
      </c>
      <c r="G627" s="9" t="s">
        <v>27</v>
      </c>
      <c r="I627" s="18"/>
    </row>
    <row r="628" spans="1:9" ht="13.2" thickBot="1">
      <c r="A628" s="7" t="s">
        <v>27</v>
      </c>
      <c r="B628" s="7" t="s">
        <v>27</v>
      </c>
      <c r="C628" s="7" t="s">
        <v>27</v>
      </c>
      <c r="D628" s="8" t="s">
        <v>27</v>
      </c>
      <c r="E628" s="19" t="s">
        <v>27</v>
      </c>
      <c r="F628" s="6" t="s">
        <v>27</v>
      </c>
      <c r="G628" s="9" t="s">
        <v>27</v>
      </c>
      <c r="I628" s="18"/>
    </row>
    <row r="629" spans="1:9" ht="13.2" thickBot="1">
      <c r="A629" s="7" t="s">
        <v>27</v>
      </c>
      <c r="B629" s="7" t="s">
        <v>27</v>
      </c>
      <c r="C629" s="7" t="s">
        <v>27</v>
      </c>
      <c r="D629" s="8" t="s">
        <v>27</v>
      </c>
      <c r="E629" s="19" t="s">
        <v>27</v>
      </c>
      <c r="F629" s="6" t="s">
        <v>27</v>
      </c>
      <c r="G629" s="9" t="s">
        <v>27</v>
      </c>
      <c r="I629" s="18"/>
    </row>
    <row r="630" spans="1:9" ht="13.2" thickBot="1">
      <c r="A630" s="7" t="s">
        <v>27</v>
      </c>
      <c r="B630" s="7" t="s">
        <v>27</v>
      </c>
      <c r="C630" s="7" t="s">
        <v>27</v>
      </c>
      <c r="D630" s="8" t="s">
        <v>27</v>
      </c>
      <c r="E630" s="19" t="s">
        <v>27</v>
      </c>
      <c r="F630" s="6" t="s">
        <v>27</v>
      </c>
      <c r="G630" s="9" t="s">
        <v>27</v>
      </c>
      <c r="I630" s="18"/>
    </row>
    <row r="631" spans="1:9" ht="13.2" thickBot="1">
      <c r="A631" s="7" t="s">
        <v>27</v>
      </c>
      <c r="B631" s="7" t="s">
        <v>27</v>
      </c>
      <c r="C631" s="7" t="s">
        <v>27</v>
      </c>
      <c r="D631" s="8" t="s">
        <v>27</v>
      </c>
      <c r="E631" s="19" t="s">
        <v>27</v>
      </c>
      <c r="F631" s="6" t="s">
        <v>27</v>
      </c>
      <c r="G631" s="9" t="s">
        <v>27</v>
      </c>
      <c r="I631" s="18"/>
    </row>
    <row r="632" spans="1:9" ht="13.2" thickBot="1">
      <c r="A632" s="7" t="s">
        <v>27</v>
      </c>
      <c r="B632" s="7" t="s">
        <v>27</v>
      </c>
      <c r="C632" s="7" t="s">
        <v>27</v>
      </c>
      <c r="D632" s="8" t="s">
        <v>27</v>
      </c>
      <c r="E632" s="19" t="s">
        <v>27</v>
      </c>
      <c r="F632" s="6" t="s">
        <v>27</v>
      </c>
      <c r="G632" s="9" t="s">
        <v>27</v>
      </c>
      <c r="I632" s="18"/>
    </row>
    <row r="633" spans="1:9" ht="13.2" thickBot="1">
      <c r="A633" s="7" t="s">
        <v>27</v>
      </c>
      <c r="B633" s="7" t="s">
        <v>27</v>
      </c>
      <c r="C633" s="7" t="s">
        <v>27</v>
      </c>
      <c r="D633" s="8" t="s">
        <v>27</v>
      </c>
      <c r="E633" s="19" t="s">
        <v>27</v>
      </c>
      <c r="F633" s="6" t="s">
        <v>27</v>
      </c>
      <c r="G633" s="9" t="s">
        <v>27</v>
      </c>
      <c r="I633" s="18"/>
    </row>
    <row r="634" spans="1:9" ht="13.2" thickBot="1">
      <c r="A634" s="7" t="s">
        <v>27</v>
      </c>
      <c r="B634" s="7" t="s">
        <v>27</v>
      </c>
      <c r="C634" s="7" t="s">
        <v>27</v>
      </c>
      <c r="D634" s="8" t="s">
        <v>27</v>
      </c>
      <c r="E634" s="19" t="s">
        <v>27</v>
      </c>
      <c r="F634" s="6" t="s">
        <v>27</v>
      </c>
      <c r="G634" s="9" t="s">
        <v>27</v>
      </c>
      <c r="I634" s="18"/>
    </row>
    <row r="635" spans="1:9" ht="13.2" thickBot="1">
      <c r="A635" s="7" t="s">
        <v>27</v>
      </c>
      <c r="B635" s="7" t="s">
        <v>27</v>
      </c>
      <c r="C635" s="7" t="s">
        <v>27</v>
      </c>
      <c r="D635" s="8" t="s">
        <v>27</v>
      </c>
      <c r="E635" s="19" t="s">
        <v>27</v>
      </c>
      <c r="F635" s="6" t="s">
        <v>27</v>
      </c>
      <c r="G635" s="9" t="s">
        <v>27</v>
      </c>
      <c r="I635" s="18"/>
    </row>
    <row r="636" spans="1:9" ht="13.2" thickBot="1">
      <c r="A636" s="7" t="s">
        <v>27</v>
      </c>
      <c r="B636" s="7" t="s">
        <v>27</v>
      </c>
      <c r="C636" s="7" t="s">
        <v>27</v>
      </c>
      <c r="D636" s="8" t="s">
        <v>27</v>
      </c>
      <c r="E636" s="19" t="s">
        <v>27</v>
      </c>
      <c r="F636" s="6" t="s">
        <v>27</v>
      </c>
      <c r="G636" s="9" t="s">
        <v>27</v>
      </c>
      <c r="I636" s="18"/>
    </row>
    <row r="637" spans="1:9" ht="13.2" thickBot="1">
      <c r="A637" s="7" t="s">
        <v>27</v>
      </c>
      <c r="B637" s="7" t="s">
        <v>27</v>
      </c>
      <c r="C637" s="7" t="s">
        <v>27</v>
      </c>
      <c r="D637" s="8" t="s">
        <v>27</v>
      </c>
      <c r="E637" s="19" t="s">
        <v>27</v>
      </c>
      <c r="F637" s="6" t="s">
        <v>27</v>
      </c>
      <c r="G637" s="9" t="s">
        <v>27</v>
      </c>
      <c r="I637" s="18"/>
    </row>
    <row r="638" spans="1:9" ht="13.2" thickBot="1">
      <c r="A638" s="7" t="s">
        <v>27</v>
      </c>
      <c r="B638" s="7" t="s">
        <v>27</v>
      </c>
      <c r="C638" s="7" t="s">
        <v>27</v>
      </c>
      <c r="D638" s="8" t="s">
        <v>27</v>
      </c>
      <c r="E638" s="19" t="s">
        <v>27</v>
      </c>
      <c r="F638" s="6" t="s">
        <v>27</v>
      </c>
      <c r="G638" s="9" t="s">
        <v>27</v>
      </c>
      <c r="I638" s="18"/>
    </row>
    <row r="639" spans="1:9" ht="13.2" thickBot="1">
      <c r="A639" s="7" t="s">
        <v>27</v>
      </c>
      <c r="B639" s="7" t="s">
        <v>27</v>
      </c>
      <c r="C639" s="7" t="s">
        <v>27</v>
      </c>
      <c r="D639" s="8" t="s">
        <v>27</v>
      </c>
      <c r="E639" s="19" t="s">
        <v>27</v>
      </c>
      <c r="F639" s="6" t="s">
        <v>27</v>
      </c>
      <c r="G639" s="9" t="s">
        <v>27</v>
      </c>
      <c r="I639" s="18"/>
    </row>
    <row r="640" spans="1:9" ht="13.2" thickBot="1">
      <c r="A640" s="7" t="s">
        <v>27</v>
      </c>
      <c r="B640" s="7" t="s">
        <v>27</v>
      </c>
      <c r="C640" s="7" t="s">
        <v>27</v>
      </c>
      <c r="D640" s="8" t="s">
        <v>27</v>
      </c>
      <c r="E640" s="19" t="s">
        <v>27</v>
      </c>
      <c r="F640" s="6" t="s">
        <v>27</v>
      </c>
      <c r="G640" s="9" t="s">
        <v>27</v>
      </c>
      <c r="I640" s="18"/>
    </row>
    <row r="641" spans="1:9" ht="13.2" thickBot="1">
      <c r="A641" s="7" t="s">
        <v>27</v>
      </c>
      <c r="B641" s="7" t="s">
        <v>27</v>
      </c>
      <c r="C641" s="7" t="s">
        <v>27</v>
      </c>
      <c r="D641" s="8" t="s">
        <v>27</v>
      </c>
      <c r="E641" s="19" t="s">
        <v>27</v>
      </c>
      <c r="F641" s="6" t="s">
        <v>27</v>
      </c>
      <c r="G641" s="9" t="s">
        <v>27</v>
      </c>
      <c r="I641" s="18"/>
    </row>
    <row r="642" spans="1:9" ht="13.2" thickBot="1">
      <c r="A642" s="7" t="s">
        <v>27</v>
      </c>
      <c r="B642" s="7" t="s">
        <v>27</v>
      </c>
      <c r="C642" s="7" t="s">
        <v>27</v>
      </c>
      <c r="D642" s="8" t="s">
        <v>27</v>
      </c>
      <c r="E642" s="19" t="s">
        <v>27</v>
      </c>
      <c r="F642" s="6" t="s">
        <v>27</v>
      </c>
      <c r="G642" s="9" t="s">
        <v>27</v>
      </c>
      <c r="I642" s="18"/>
    </row>
    <row r="643" spans="1:9" ht="13.2" thickBot="1">
      <c r="A643" s="7" t="s">
        <v>27</v>
      </c>
      <c r="B643" s="7" t="s">
        <v>27</v>
      </c>
      <c r="C643" s="7" t="s">
        <v>27</v>
      </c>
      <c r="D643" s="8" t="s">
        <v>27</v>
      </c>
      <c r="E643" s="19" t="s">
        <v>27</v>
      </c>
      <c r="F643" s="6" t="s">
        <v>27</v>
      </c>
      <c r="G643" s="9" t="s">
        <v>27</v>
      </c>
      <c r="I643" s="18"/>
    </row>
    <row r="644" spans="1:9" ht="13.2" thickBot="1">
      <c r="A644" s="7" t="s">
        <v>27</v>
      </c>
      <c r="B644" s="7" t="s">
        <v>27</v>
      </c>
      <c r="C644" s="7" t="s">
        <v>27</v>
      </c>
      <c r="D644" s="8" t="s">
        <v>27</v>
      </c>
      <c r="E644" s="19" t="s">
        <v>27</v>
      </c>
      <c r="F644" s="6" t="s">
        <v>27</v>
      </c>
      <c r="G644" s="9" t="s">
        <v>27</v>
      </c>
      <c r="I644" s="18"/>
    </row>
    <row r="645" spans="1:9" ht="13.2" thickBot="1">
      <c r="A645" s="7" t="s">
        <v>27</v>
      </c>
      <c r="B645" s="7" t="s">
        <v>27</v>
      </c>
      <c r="C645" s="7" t="s">
        <v>27</v>
      </c>
      <c r="D645" s="8" t="s">
        <v>27</v>
      </c>
      <c r="E645" s="19" t="s">
        <v>27</v>
      </c>
      <c r="F645" s="6" t="s">
        <v>27</v>
      </c>
      <c r="G645" s="9" t="s">
        <v>27</v>
      </c>
      <c r="I645" s="18"/>
    </row>
    <row r="646" spans="1:9" ht="13.2" thickBot="1">
      <c r="A646" s="7" t="s">
        <v>27</v>
      </c>
      <c r="B646" s="7" t="s">
        <v>27</v>
      </c>
      <c r="C646" s="7" t="s">
        <v>27</v>
      </c>
      <c r="D646" s="8" t="s">
        <v>27</v>
      </c>
      <c r="E646" s="19" t="s">
        <v>27</v>
      </c>
      <c r="F646" s="6" t="s">
        <v>27</v>
      </c>
      <c r="G646" s="9" t="s">
        <v>27</v>
      </c>
      <c r="I646" s="18"/>
    </row>
    <row r="647" spans="1:9" ht="13.2" thickBot="1">
      <c r="A647" s="7" t="s">
        <v>27</v>
      </c>
      <c r="B647" s="7" t="s">
        <v>27</v>
      </c>
      <c r="C647" s="7" t="s">
        <v>27</v>
      </c>
      <c r="D647" s="8" t="s">
        <v>27</v>
      </c>
      <c r="E647" s="19" t="s">
        <v>27</v>
      </c>
      <c r="F647" s="6" t="s">
        <v>27</v>
      </c>
      <c r="G647" s="9" t="s">
        <v>27</v>
      </c>
      <c r="I647" s="18"/>
    </row>
    <row r="648" spans="1:9" ht="13.2" thickBot="1">
      <c r="A648" s="7" t="s">
        <v>27</v>
      </c>
      <c r="B648" s="7" t="s">
        <v>27</v>
      </c>
      <c r="C648" s="7" t="s">
        <v>27</v>
      </c>
      <c r="D648" s="8" t="s">
        <v>27</v>
      </c>
      <c r="E648" s="19" t="s">
        <v>27</v>
      </c>
      <c r="F648" s="6" t="s">
        <v>27</v>
      </c>
      <c r="G648" s="9" t="s">
        <v>27</v>
      </c>
      <c r="I648" s="18"/>
    </row>
    <row r="649" spans="1:9" ht="13.2" thickBot="1">
      <c r="A649" s="7" t="s">
        <v>27</v>
      </c>
      <c r="B649" s="7" t="s">
        <v>27</v>
      </c>
      <c r="C649" s="7" t="s">
        <v>27</v>
      </c>
      <c r="D649" s="8" t="s">
        <v>27</v>
      </c>
      <c r="E649" s="19" t="s">
        <v>27</v>
      </c>
      <c r="F649" s="6" t="s">
        <v>27</v>
      </c>
      <c r="G649" s="9" t="s">
        <v>27</v>
      </c>
      <c r="I649" s="18"/>
    </row>
    <row r="650" spans="1:9" ht="13.2" thickBot="1">
      <c r="A650" s="7" t="s">
        <v>27</v>
      </c>
      <c r="B650" s="7" t="s">
        <v>27</v>
      </c>
      <c r="C650" s="7" t="s">
        <v>27</v>
      </c>
      <c r="D650" s="8" t="s">
        <v>27</v>
      </c>
      <c r="E650" s="19" t="s">
        <v>27</v>
      </c>
      <c r="F650" s="6" t="s">
        <v>27</v>
      </c>
      <c r="G650" s="9" t="s">
        <v>27</v>
      </c>
      <c r="I650" s="18"/>
    </row>
    <row r="651" spans="1:9" ht="13.2" thickBot="1">
      <c r="A651" s="7" t="s">
        <v>27</v>
      </c>
      <c r="B651" s="7" t="s">
        <v>27</v>
      </c>
      <c r="C651" s="7" t="s">
        <v>27</v>
      </c>
      <c r="D651" s="8" t="s">
        <v>27</v>
      </c>
      <c r="E651" s="19" t="s">
        <v>27</v>
      </c>
      <c r="F651" s="6" t="s">
        <v>27</v>
      </c>
      <c r="G651" s="9" t="s">
        <v>27</v>
      </c>
      <c r="I651" s="18"/>
    </row>
    <row r="652" spans="1:9" ht="13.2" thickBot="1">
      <c r="A652" s="7" t="s">
        <v>27</v>
      </c>
      <c r="B652" s="7" t="s">
        <v>27</v>
      </c>
      <c r="C652" s="7" t="s">
        <v>27</v>
      </c>
      <c r="D652" s="8" t="s">
        <v>27</v>
      </c>
      <c r="E652" s="19" t="s">
        <v>27</v>
      </c>
      <c r="F652" s="6" t="s">
        <v>27</v>
      </c>
      <c r="G652" s="9" t="s">
        <v>27</v>
      </c>
      <c r="I652" s="18"/>
    </row>
    <row r="653" spans="1:9" ht="13.2" thickBot="1">
      <c r="A653" s="7" t="s">
        <v>27</v>
      </c>
      <c r="B653" s="7" t="s">
        <v>27</v>
      </c>
      <c r="C653" s="7" t="s">
        <v>27</v>
      </c>
      <c r="D653" s="8" t="s">
        <v>27</v>
      </c>
      <c r="E653" s="19" t="s">
        <v>27</v>
      </c>
      <c r="F653" s="6" t="s">
        <v>27</v>
      </c>
      <c r="G653" s="9" t="s">
        <v>27</v>
      </c>
      <c r="I653" s="18"/>
    </row>
    <row r="654" spans="1:9" ht="13.2" thickBot="1">
      <c r="A654" s="7" t="s">
        <v>27</v>
      </c>
      <c r="B654" s="7" t="s">
        <v>27</v>
      </c>
      <c r="C654" s="7" t="s">
        <v>27</v>
      </c>
      <c r="D654" s="8" t="s">
        <v>27</v>
      </c>
      <c r="E654" s="19" t="s">
        <v>27</v>
      </c>
      <c r="F654" s="6" t="s">
        <v>27</v>
      </c>
      <c r="G654" s="9" t="s">
        <v>27</v>
      </c>
      <c r="I654" s="18"/>
    </row>
    <row r="655" spans="1:9" ht="13.2" thickBot="1">
      <c r="A655" s="7" t="s">
        <v>27</v>
      </c>
      <c r="B655" s="7" t="s">
        <v>27</v>
      </c>
      <c r="C655" s="7" t="s">
        <v>27</v>
      </c>
      <c r="D655" s="8" t="s">
        <v>27</v>
      </c>
      <c r="E655" s="19" t="s">
        <v>27</v>
      </c>
      <c r="F655" s="6" t="s">
        <v>27</v>
      </c>
      <c r="G655" s="9" t="s">
        <v>27</v>
      </c>
      <c r="I655" s="18"/>
    </row>
    <row r="656" spans="1:9" ht="13.2" thickBot="1">
      <c r="A656" s="7" t="s">
        <v>27</v>
      </c>
      <c r="B656" s="7" t="s">
        <v>27</v>
      </c>
      <c r="C656" s="7" t="s">
        <v>27</v>
      </c>
      <c r="D656" s="8" t="s">
        <v>27</v>
      </c>
      <c r="E656" s="19" t="s">
        <v>27</v>
      </c>
      <c r="F656" s="6" t="s">
        <v>27</v>
      </c>
      <c r="G656" s="9" t="s">
        <v>27</v>
      </c>
      <c r="I656" s="18"/>
    </row>
    <row r="657" spans="1:9" ht="13.2" thickBot="1">
      <c r="A657" s="7" t="s">
        <v>27</v>
      </c>
      <c r="B657" s="7" t="s">
        <v>27</v>
      </c>
      <c r="C657" s="7" t="s">
        <v>27</v>
      </c>
      <c r="D657" s="8" t="s">
        <v>27</v>
      </c>
      <c r="E657" s="19" t="s">
        <v>27</v>
      </c>
      <c r="F657" s="6" t="s">
        <v>27</v>
      </c>
      <c r="G657" s="9" t="s">
        <v>27</v>
      </c>
      <c r="I657" s="18"/>
    </row>
    <row r="658" spans="1:9" ht="13.2" thickBot="1">
      <c r="A658" s="7" t="s">
        <v>27</v>
      </c>
      <c r="B658" s="7" t="s">
        <v>27</v>
      </c>
      <c r="C658" s="7" t="s">
        <v>27</v>
      </c>
      <c r="D658" s="8" t="s">
        <v>27</v>
      </c>
      <c r="E658" s="19" t="s">
        <v>27</v>
      </c>
      <c r="F658" s="6" t="s">
        <v>27</v>
      </c>
      <c r="G658" s="9" t="s">
        <v>27</v>
      </c>
      <c r="I658" s="18"/>
    </row>
    <row r="659" spans="1:9" ht="13.2" thickBot="1">
      <c r="A659" s="7" t="s">
        <v>27</v>
      </c>
      <c r="B659" s="7" t="s">
        <v>27</v>
      </c>
      <c r="C659" s="7" t="s">
        <v>27</v>
      </c>
      <c r="D659" s="8" t="s">
        <v>27</v>
      </c>
      <c r="E659" s="19" t="s">
        <v>27</v>
      </c>
      <c r="F659" s="6" t="s">
        <v>27</v>
      </c>
      <c r="G659" s="9" t="s">
        <v>27</v>
      </c>
      <c r="I659" s="18"/>
    </row>
    <row r="660" spans="1:9" ht="13.2" thickBot="1">
      <c r="A660" s="7" t="s">
        <v>27</v>
      </c>
      <c r="B660" s="7" t="s">
        <v>27</v>
      </c>
      <c r="C660" s="7" t="s">
        <v>27</v>
      </c>
      <c r="D660" s="8" t="s">
        <v>27</v>
      </c>
      <c r="E660" s="19" t="s">
        <v>27</v>
      </c>
      <c r="F660" s="6" t="s">
        <v>27</v>
      </c>
      <c r="G660" s="9" t="s">
        <v>27</v>
      </c>
      <c r="I660" s="18"/>
    </row>
    <row r="661" spans="1:9" ht="13.2" thickBot="1">
      <c r="A661" s="7" t="s">
        <v>27</v>
      </c>
      <c r="B661" s="7" t="s">
        <v>27</v>
      </c>
      <c r="C661" s="7" t="s">
        <v>27</v>
      </c>
      <c r="D661" s="8" t="s">
        <v>27</v>
      </c>
      <c r="E661" s="19" t="s">
        <v>27</v>
      </c>
      <c r="F661" s="6" t="s">
        <v>27</v>
      </c>
      <c r="G661" s="9" t="s">
        <v>27</v>
      </c>
      <c r="I661" s="18"/>
    </row>
    <row r="662" spans="1:9" ht="13.2" thickBot="1">
      <c r="A662" s="7" t="s">
        <v>27</v>
      </c>
      <c r="B662" s="7" t="s">
        <v>27</v>
      </c>
      <c r="C662" s="7" t="s">
        <v>27</v>
      </c>
      <c r="D662" s="8" t="s">
        <v>27</v>
      </c>
      <c r="E662" s="19" t="s">
        <v>27</v>
      </c>
      <c r="F662" s="6" t="s">
        <v>27</v>
      </c>
      <c r="G662" s="9" t="s">
        <v>27</v>
      </c>
      <c r="I662" s="18"/>
    </row>
    <row r="663" spans="1:9" ht="13.2" thickBot="1">
      <c r="A663" s="7" t="s">
        <v>27</v>
      </c>
      <c r="B663" s="7" t="s">
        <v>27</v>
      </c>
      <c r="C663" s="7" t="s">
        <v>27</v>
      </c>
      <c r="D663" s="8" t="s">
        <v>27</v>
      </c>
      <c r="E663" s="19" t="s">
        <v>27</v>
      </c>
      <c r="F663" s="6" t="s">
        <v>27</v>
      </c>
      <c r="G663" s="9" t="s">
        <v>27</v>
      </c>
      <c r="I663" s="18"/>
    </row>
    <row r="664" spans="1:9" ht="13.2" thickBot="1">
      <c r="A664" s="7" t="s">
        <v>27</v>
      </c>
      <c r="B664" s="7" t="s">
        <v>27</v>
      </c>
      <c r="C664" s="7" t="s">
        <v>27</v>
      </c>
      <c r="D664" s="8" t="s">
        <v>27</v>
      </c>
      <c r="E664" s="19" t="s">
        <v>27</v>
      </c>
      <c r="F664" s="6" t="s">
        <v>27</v>
      </c>
      <c r="G664" s="9" t="s">
        <v>27</v>
      </c>
      <c r="I664" s="18"/>
    </row>
    <row r="665" spans="1:9" ht="13.2" thickBot="1">
      <c r="A665" s="7" t="s">
        <v>27</v>
      </c>
      <c r="B665" s="7" t="s">
        <v>27</v>
      </c>
      <c r="C665" s="7" t="s">
        <v>27</v>
      </c>
      <c r="D665" s="8" t="s">
        <v>27</v>
      </c>
      <c r="E665" s="19" t="s">
        <v>27</v>
      </c>
      <c r="F665" s="6" t="s">
        <v>27</v>
      </c>
      <c r="G665" s="9" t="s">
        <v>27</v>
      </c>
      <c r="I665" s="18"/>
    </row>
    <row r="666" spans="1:9" ht="13.2" thickBot="1">
      <c r="A666" s="7" t="s">
        <v>27</v>
      </c>
      <c r="B666" s="7" t="s">
        <v>27</v>
      </c>
      <c r="C666" s="7" t="s">
        <v>27</v>
      </c>
      <c r="D666" s="8" t="s">
        <v>27</v>
      </c>
      <c r="E666" s="19" t="s">
        <v>27</v>
      </c>
      <c r="F666" s="6" t="s">
        <v>27</v>
      </c>
      <c r="G666" s="9" t="s">
        <v>27</v>
      </c>
      <c r="I666" s="18"/>
    </row>
    <row r="667" spans="1:9" ht="13.2" thickBot="1">
      <c r="A667" s="7" t="s">
        <v>27</v>
      </c>
      <c r="B667" s="7" t="s">
        <v>27</v>
      </c>
      <c r="C667" s="7" t="s">
        <v>27</v>
      </c>
      <c r="D667" s="8" t="s">
        <v>27</v>
      </c>
      <c r="E667" s="19" t="s">
        <v>27</v>
      </c>
      <c r="F667" s="6" t="s">
        <v>27</v>
      </c>
      <c r="G667" s="9" t="s">
        <v>27</v>
      </c>
      <c r="I667" s="18"/>
    </row>
    <row r="668" spans="1:9" ht="13.2" thickBot="1">
      <c r="A668" s="7" t="s">
        <v>27</v>
      </c>
      <c r="B668" s="7" t="s">
        <v>27</v>
      </c>
      <c r="C668" s="7" t="s">
        <v>27</v>
      </c>
      <c r="D668" s="8" t="s">
        <v>27</v>
      </c>
      <c r="E668" s="19" t="s">
        <v>27</v>
      </c>
      <c r="F668" s="6" t="s">
        <v>27</v>
      </c>
      <c r="G668" s="9" t="s">
        <v>27</v>
      </c>
      <c r="I668" s="18"/>
    </row>
    <row r="669" spans="1:9" ht="13.2" thickBot="1">
      <c r="A669" s="7" t="s">
        <v>27</v>
      </c>
      <c r="B669" s="7" t="s">
        <v>27</v>
      </c>
      <c r="C669" s="7" t="s">
        <v>27</v>
      </c>
      <c r="D669" s="8" t="s">
        <v>27</v>
      </c>
      <c r="E669" s="19" t="s">
        <v>27</v>
      </c>
      <c r="F669" s="6" t="s">
        <v>27</v>
      </c>
      <c r="G669" s="9" t="s">
        <v>27</v>
      </c>
      <c r="I669" s="18"/>
    </row>
    <row r="670" spans="1:9" ht="13.2" thickBot="1">
      <c r="A670" s="7" t="s">
        <v>27</v>
      </c>
      <c r="B670" s="7" t="s">
        <v>27</v>
      </c>
      <c r="C670" s="7" t="s">
        <v>27</v>
      </c>
      <c r="D670" s="8" t="s">
        <v>27</v>
      </c>
      <c r="E670" s="19" t="s">
        <v>27</v>
      </c>
      <c r="F670" s="6" t="s">
        <v>27</v>
      </c>
      <c r="G670" s="9" t="s">
        <v>27</v>
      </c>
      <c r="I670" s="18"/>
    </row>
    <row r="671" spans="1:9" ht="13.2" thickBot="1">
      <c r="A671" s="7" t="s">
        <v>27</v>
      </c>
      <c r="B671" s="7" t="s">
        <v>27</v>
      </c>
      <c r="C671" s="7" t="s">
        <v>27</v>
      </c>
      <c r="D671" s="8" t="s">
        <v>27</v>
      </c>
      <c r="E671" s="19" t="s">
        <v>27</v>
      </c>
      <c r="F671" s="6" t="s">
        <v>27</v>
      </c>
      <c r="G671" s="9" t="s">
        <v>27</v>
      </c>
      <c r="I671" s="18"/>
    </row>
    <row r="672" spans="1:9" ht="13.2" thickBot="1">
      <c r="A672" s="7" t="s">
        <v>27</v>
      </c>
      <c r="B672" s="7" t="s">
        <v>27</v>
      </c>
      <c r="C672" s="7" t="s">
        <v>27</v>
      </c>
      <c r="D672" s="8" t="s">
        <v>27</v>
      </c>
      <c r="E672" s="19" t="s">
        <v>27</v>
      </c>
      <c r="F672" s="6" t="s">
        <v>27</v>
      </c>
      <c r="G672" s="9" t="s">
        <v>27</v>
      </c>
      <c r="I672" s="18"/>
    </row>
    <row r="673" spans="1:9" ht="13.2" thickBot="1">
      <c r="A673" s="7" t="s">
        <v>27</v>
      </c>
      <c r="B673" s="7" t="s">
        <v>27</v>
      </c>
      <c r="C673" s="7" t="s">
        <v>27</v>
      </c>
      <c r="D673" s="8" t="s">
        <v>27</v>
      </c>
      <c r="E673" s="19" t="s">
        <v>27</v>
      </c>
      <c r="F673" s="6" t="s">
        <v>27</v>
      </c>
      <c r="G673" s="9" t="s">
        <v>27</v>
      </c>
      <c r="I673" s="18"/>
    </row>
    <row r="674" spans="1:9" ht="13.2" thickBot="1">
      <c r="A674" s="7" t="s">
        <v>27</v>
      </c>
      <c r="B674" s="7" t="s">
        <v>27</v>
      </c>
      <c r="C674" s="7" t="s">
        <v>27</v>
      </c>
      <c r="D674" s="8" t="s">
        <v>27</v>
      </c>
      <c r="E674" s="19" t="s">
        <v>27</v>
      </c>
      <c r="F674" s="6" t="s">
        <v>27</v>
      </c>
      <c r="G674" s="9" t="s">
        <v>27</v>
      </c>
      <c r="I674" s="18"/>
    </row>
    <row r="675" spans="1:9" ht="13.2" thickBot="1">
      <c r="A675" s="7" t="s">
        <v>27</v>
      </c>
      <c r="B675" s="7" t="s">
        <v>27</v>
      </c>
      <c r="C675" s="7" t="s">
        <v>27</v>
      </c>
      <c r="D675" s="8" t="s">
        <v>27</v>
      </c>
      <c r="E675" s="19" t="s">
        <v>27</v>
      </c>
      <c r="F675" s="6" t="s">
        <v>27</v>
      </c>
      <c r="G675" s="9" t="s">
        <v>27</v>
      </c>
      <c r="I675" s="18"/>
    </row>
    <row r="676" spans="1:9" ht="13.2" thickBot="1">
      <c r="A676" s="7" t="s">
        <v>27</v>
      </c>
      <c r="B676" s="7" t="s">
        <v>27</v>
      </c>
      <c r="C676" s="7" t="s">
        <v>27</v>
      </c>
      <c r="D676" s="8" t="s">
        <v>27</v>
      </c>
      <c r="E676" s="19" t="s">
        <v>27</v>
      </c>
      <c r="F676" s="6" t="s">
        <v>27</v>
      </c>
      <c r="G676" s="9" t="s">
        <v>27</v>
      </c>
      <c r="I676" s="18"/>
    </row>
    <row r="677" spans="1:9" ht="13.2" thickBot="1">
      <c r="A677" s="7" t="s">
        <v>27</v>
      </c>
      <c r="B677" s="7" t="s">
        <v>27</v>
      </c>
      <c r="C677" s="7" t="s">
        <v>27</v>
      </c>
      <c r="D677" s="8" t="s">
        <v>27</v>
      </c>
      <c r="E677" s="19" t="s">
        <v>27</v>
      </c>
      <c r="F677" s="6" t="s">
        <v>27</v>
      </c>
      <c r="G677" s="9" t="s">
        <v>27</v>
      </c>
      <c r="I677" s="18"/>
    </row>
    <row r="678" spans="1:9" ht="13.2" thickBot="1">
      <c r="A678" s="7" t="s">
        <v>27</v>
      </c>
      <c r="B678" s="7" t="s">
        <v>27</v>
      </c>
      <c r="C678" s="7" t="s">
        <v>27</v>
      </c>
      <c r="D678" s="8" t="s">
        <v>27</v>
      </c>
      <c r="E678" s="19" t="s">
        <v>27</v>
      </c>
      <c r="F678" s="6" t="s">
        <v>27</v>
      </c>
      <c r="G678" s="9" t="s">
        <v>27</v>
      </c>
      <c r="I678" s="18"/>
    </row>
    <row r="679" spans="1:9" ht="13.2" thickBot="1">
      <c r="A679" s="7" t="s">
        <v>27</v>
      </c>
      <c r="B679" s="7" t="s">
        <v>27</v>
      </c>
      <c r="C679" s="7" t="s">
        <v>27</v>
      </c>
      <c r="D679" s="8" t="s">
        <v>27</v>
      </c>
      <c r="E679" s="19" t="s">
        <v>27</v>
      </c>
      <c r="F679" s="6" t="s">
        <v>27</v>
      </c>
      <c r="G679" s="9" t="s">
        <v>27</v>
      </c>
      <c r="I679" s="18"/>
    </row>
    <row r="680" spans="1:9" ht="13.2" thickBot="1">
      <c r="A680" s="7" t="s">
        <v>27</v>
      </c>
      <c r="B680" s="7" t="s">
        <v>27</v>
      </c>
      <c r="C680" s="7" t="s">
        <v>27</v>
      </c>
      <c r="D680" s="8" t="s">
        <v>27</v>
      </c>
      <c r="E680" s="19" t="s">
        <v>27</v>
      </c>
      <c r="F680" s="6" t="s">
        <v>27</v>
      </c>
      <c r="G680" s="9" t="s">
        <v>27</v>
      </c>
      <c r="I680" s="18"/>
    </row>
    <row r="681" spans="1:9" ht="13.2" thickBot="1">
      <c r="A681" s="7" t="s">
        <v>27</v>
      </c>
      <c r="B681" s="7" t="s">
        <v>27</v>
      </c>
      <c r="C681" s="7" t="s">
        <v>27</v>
      </c>
      <c r="D681" s="8" t="s">
        <v>27</v>
      </c>
      <c r="E681" s="19" t="s">
        <v>27</v>
      </c>
      <c r="F681" s="6" t="s">
        <v>27</v>
      </c>
      <c r="G681" s="9" t="s">
        <v>27</v>
      </c>
      <c r="I681" s="18"/>
    </row>
    <row r="682" spans="1:9" ht="13.2" thickBot="1">
      <c r="A682" s="7" t="s">
        <v>27</v>
      </c>
      <c r="B682" s="7" t="s">
        <v>27</v>
      </c>
      <c r="C682" s="7" t="s">
        <v>27</v>
      </c>
      <c r="D682" s="8" t="s">
        <v>27</v>
      </c>
      <c r="E682" s="19" t="s">
        <v>27</v>
      </c>
      <c r="F682" s="6" t="s">
        <v>27</v>
      </c>
      <c r="G682" s="9" t="s">
        <v>27</v>
      </c>
      <c r="I682" s="18"/>
    </row>
    <row r="683" spans="1:9" ht="13.2" thickBot="1">
      <c r="A683" s="7" t="s">
        <v>27</v>
      </c>
      <c r="B683" s="7" t="s">
        <v>27</v>
      </c>
      <c r="C683" s="7" t="s">
        <v>27</v>
      </c>
      <c r="D683" s="8" t="s">
        <v>27</v>
      </c>
      <c r="E683" s="19" t="s">
        <v>27</v>
      </c>
      <c r="F683" s="6" t="s">
        <v>27</v>
      </c>
      <c r="G683" s="9" t="s">
        <v>27</v>
      </c>
      <c r="I683" s="18"/>
    </row>
    <row r="684" spans="1:9" ht="13.2" thickBot="1">
      <c r="A684" s="7" t="s">
        <v>27</v>
      </c>
      <c r="B684" s="7" t="s">
        <v>27</v>
      </c>
      <c r="C684" s="7" t="s">
        <v>27</v>
      </c>
      <c r="D684" s="8" t="s">
        <v>27</v>
      </c>
      <c r="E684" s="19" t="s">
        <v>27</v>
      </c>
      <c r="F684" s="6" t="s">
        <v>27</v>
      </c>
      <c r="G684" s="9" t="s">
        <v>27</v>
      </c>
      <c r="I684" s="18"/>
    </row>
    <row r="685" spans="1:9" ht="13.2" thickBot="1">
      <c r="A685" s="7" t="s">
        <v>27</v>
      </c>
      <c r="B685" s="7" t="s">
        <v>27</v>
      </c>
      <c r="C685" s="7" t="s">
        <v>27</v>
      </c>
      <c r="D685" s="8" t="s">
        <v>27</v>
      </c>
      <c r="E685" s="19" t="s">
        <v>27</v>
      </c>
      <c r="F685" s="6" t="s">
        <v>27</v>
      </c>
      <c r="G685" s="9" t="s">
        <v>27</v>
      </c>
      <c r="I685" s="18"/>
    </row>
    <row r="686" spans="1:9" ht="13.2" thickBot="1">
      <c r="A686" s="7" t="s">
        <v>27</v>
      </c>
      <c r="B686" s="7" t="s">
        <v>27</v>
      </c>
      <c r="C686" s="7" t="s">
        <v>27</v>
      </c>
      <c r="D686" s="8" t="s">
        <v>27</v>
      </c>
      <c r="E686" s="19" t="s">
        <v>27</v>
      </c>
      <c r="F686" s="6" t="s">
        <v>27</v>
      </c>
      <c r="G686" s="9" t="s">
        <v>27</v>
      </c>
      <c r="I686" s="18"/>
    </row>
    <row r="687" spans="1:9" ht="13.2" thickBot="1">
      <c r="A687" s="7" t="s">
        <v>27</v>
      </c>
      <c r="B687" s="7" t="s">
        <v>27</v>
      </c>
      <c r="C687" s="7" t="s">
        <v>27</v>
      </c>
      <c r="D687" s="8" t="s">
        <v>27</v>
      </c>
      <c r="E687" s="19" t="s">
        <v>27</v>
      </c>
      <c r="F687" s="6" t="s">
        <v>27</v>
      </c>
      <c r="G687" s="9" t="s">
        <v>27</v>
      </c>
      <c r="I687" s="18"/>
    </row>
    <row r="688" spans="1:9" ht="13.2" thickBot="1">
      <c r="A688" s="7" t="s">
        <v>27</v>
      </c>
      <c r="B688" s="7" t="s">
        <v>27</v>
      </c>
      <c r="C688" s="7" t="s">
        <v>27</v>
      </c>
      <c r="D688" s="8" t="s">
        <v>27</v>
      </c>
      <c r="E688" s="19" t="s">
        <v>27</v>
      </c>
      <c r="F688" s="6" t="s">
        <v>27</v>
      </c>
      <c r="G688" s="9" t="s">
        <v>27</v>
      </c>
      <c r="I688" s="18"/>
    </row>
    <row r="689" spans="1:9" ht="13.2" thickBot="1">
      <c r="A689" s="7" t="s">
        <v>27</v>
      </c>
      <c r="B689" s="7" t="s">
        <v>27</v>
      </c>
      <c r="C689" s="7" t="s">
        <v>27</v>
      </c>
      <c r="D689" s="8" t="s">
        <v>27</v>
      </c>
      <c r="E689" s="19" t="s">
        <v>27</v>
      </c>
      <c r="F689" s="6" t="s">
        <v>27</v>
      </c>
      <c r="G689" s="9" t="s">
        <v>27</v>
      </c>
      <c r="I689" s="18"/>
    </row>
    <row r="690" spans="1:9" ht="13.2" thickBot="1">
      <c r="A690" s="7" t="s">
        <v>27</v>
      </c>
      <c r="B690" s="7" t="s">
        <v>27</v>
      </c>
      <c r="C690" s="7" t="s">
        <v>27</v>
      </c>
      <c r="D690" s="8" t="s">
        <v>27</v>
      </c>
      <c r="E690" s="19" t="s">
        <v>27</v>
      </c>
      <c r="F690" s="6" t="s">
        <v>27</v>
      </c>
      <c r="G690" s="9" t="s">
        <v>27</v>
      </c>
      <c r="I690" s="18"/>
    </row>
    <row r="691" spans="1:9" ht="13.2" thickBot="1">
      <c r="A691" s="7" t="s">
        <v>27</v>
      </c>
      <c r="B691" s="7" t="s">
        <v>27</v>
      </c>
      <c r="C691" s="7" t="s">
        <v>27</v>
      </c>
      <c r="D691" s="8" t="s">
        <v>27</v>
      </c>
      <c r="E691" s="19" t="s">
        <v>27</v>
      </c>
      <c r="F691" s="6" t="s">
        <v>27</v>
      </c>
      <c r="G691" s="9" t="s">
        <v>27</v>
      </c>
      <c r="I691" s="18"/>
    </row>
    <row r="692" spans="1:9" ht="13.2" thickBot="1">
      <c r="A692" s="7" t="s">
        <v>27</v>
      </c>
      <c r="B692" s="7" t="s">
        <v>27</v>
      </c>
      <c r="C692" s="7" t="s">
        <v>27</v>
      </c>
      <c r="D692" s="8" t="s">
        <v>27</v>
      </c>
      <c r="E692" s="19" t="s">
        <v>27</v>
      </c>
      <c r="F692" s="6" t="s">
        <v>27</v>
      </c>
      <c r="G692" s="9" t="s">
        <v>27</v>
      </c>
      <c r="I692" s="18"/>
    </row>
    <row r="693" spans="1:9" ht="13.2" thickBot="1">
      <c r="A693" s="7" t="s">
        <v>27</v>
      </c>
      <c r="B693" s="7" t="s">
        <v>27</v>
      </c>
      <c r="C693" s="7" t="s">
        <v>27</v>
      </c>
      <c r="D693" s="8" t="s">
        <v>27</v>
      </c>
      <c r="E693" s="19" t="s">
        <v>27</v>
      </c>
      <c r="F693" s="6" t="s">
        <v>27</v>
      </c>
      <c r="G693" s="9" t="s">
        <v>27</v>
      </c>
      <c r="I693" s="18"/>
    </row>
    <row r="694" spans="1:9" ht="13.2" thickBot="1">
      <c r="A694" s="7" t="s">
        <v>27</v>
      </c>
      <c r="B694" s="7" t="s">
        <v>27</v>
      </c>
      <c r="C694" s="7" t="s">
        <v>27</v>
      </c>
      <c r="D694" s="8" t="s">
        <v>27</v>
      </c>
      <c r="E694" s="19" t="s">
        <v>27</v>
      </c>
      <c r="F694" s="6" t="s">
        <v>27</v>
      </c>
      <c r="G694" s="9" t="s">
        <v>27</v>
      </c>
      <c r="I694" s="18"/>
    </row>
    <row r="695" spans="1:9" ht="13.2" thickBot="1">
      <c r="A695" s="7" t="s">
        <v>27</v>
      </c>
      <c r="B695" s="7" t="s">
        <v>27</v>
      </c>
      <c r="C695" s="7" t="s">
        <v>27</v>
      </c>
      <c r="D695" s="8" t="s">
        <v>27</v>
      </c>
      <c r="E695" s="19" t="s">
        <v>27</v>
      </c>
      <c r="F695" s="6" t="s">
        <v>27</v>
      </c>
      <c r="G695" s="9" t="s">
        <v>27</v>
      </c>
      <c r="I695" s="18"/>
    </row>
    <row r="696" spans="1:9" ht="13.2" thickBot="1">
      <c r="A696" s="7" t="s">
        <v>27</v>
      </c>
      <c r="B696" s="7" t="s">
        <v>27</v>
      </c>
      <c r="C696" s="7" t="s">
        <v>27</v>
      </c>
      <c r="D696" s="8" t="s">
        <v>27</v>
      </c>
      <c r="E696" s="19" t="s">
        <v>27</v>
      </c>
      <c r="F696" s="6" t="s">
        <v>27</v>
      </c>
      <c r="G696" s="9" t="s">
        <v>27</v>
      </c>
      <c r="I696" s="18"/>
    </row>
    <row r="697" spans="1:9" ht="13.2" thickBot="1">
      <c r="A697" s="7" t="s">
        <v>27</v>
      </c>
      <c r="B697" s="7" t="s">
        <v>27</v>
      </c>
      <c r="C697" s="7" t="s">
        <v>27</v>
      </c>
      <c r="D697" s="8" t="s">
        <v>27</v>
      </c>
      <c r="E697" s="19" t="s">
        <v>27</v>
      </c>
      <c r="F697" s="6" t="s">
        <v>27</v>
      </c>
      <c r="G697" s="9" t="s">
        <v>27</v>
      </c>
      <c r="I697" s="18"/>
    </row>
    <row r="698" spans="1:9" ht="13.2" thickBot="1">
      <c r="A698" s="7" t="s">
        <v>27</v>
      </c>
      <c r="B698" s="7" t="s">
        <v>27</v>
      </c>
      <c r="C698" s="7" t="s">
        <v>27</v>
      </c>
      <c r="D698" s="8" t="s">
        <v>27</v>
      </c>
      <c r="E698" s="19" t="s">
        <v>27</v>
      </c>
      <c r="F698" s="6" t="s">
        <v>27</v>
      </c>
      <c r="G698" s="9" t="s">
        <v>27</v>
      </c>
      <c r="I698" s="18"/>
    </row>
    <row r="699" spans="1:9" ht="13.2" thickBot="1">
      <c r="A699" s="7" t="s">
        <v>27</v>
      </c>
      <c r="B699" s="7" t="s">
        <v>27</v>
      </c>
      <c r="C699" s="7" t="s">
        <v>27</v>
      </c>
      <c r="D699" s="8" t="s">
        <v>27</v>
      </c>
      <c r="E699" s="19" t="s">
        <v>27</v>
      </c>
      <c r="F699" s="6" t="s">
        <v>27</v>
      </c>
      <c r="G699" s="9" t="s">
        <v>27</v>
      </c>
      <c r="I699" s="18"/>
    </row>
    <row r="700" spans="1:9" ht="12.6">
      <c r="A700" s="20" t="s">
        <v>27</v>
      </c>
      <c r="B700" s="20" t="s">
        <v>27</v>
      </c>
      <c r="C700" s="10" t="s">
        <v>27</v>
      </c>
      <c r="D700" s="18" t="s">
        <v>27</v>
      </c>
      <c r="E700" s="3" t="s">
        <v>27</v>
      </c>
      <c r="F700" s="3" t="s">
        <v>27</v>
      </c>
      <c r="G700" s="10" t="s">
        <v>27</v>
      </c>
      <c r="I700" s="18"/>
    </row>
  </sheetData>
  <phoneticPr fontId="0" type="noConversion"/>
  <pageMargins left="0.25" right="0.25" top="1" bottom="1" header="0.5" footer="0.5"/>
  <pageSetup scale="48" fitToHeight="0" orientation="portrait" r:id="rId1"/>
  <headerFooter alignWithMargins="0"/>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Classifications!$A$3:$A$10</xm:f>
          </x14:formula1>
          <xm:sqref>E7:E700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2:A10"/>
  <sheetViews>
    <sheetView workbookViewId="0">
      <selection activeCell="A2" sqref="A2"/>
    </sheetView>
  </sheetViews>
  <sheetFormatPr defaultRowHeight="13.2"/>
  <cols>
    <col min="1" max="1" width="32.6640625" customWidth="1"/>
  </cols>
  <sheetData>
    <row r="2" spans="1:1">
      <c r="A2" s="17" t="s">
        <v>4</v>
      </c>
    </row>
    <row r="3" spans="1:1">
      <c r="A3" s="13" t="s">
        <v>5</v>
      </c>
    </row>
    <row r="4" spans="1:1">
      <c r="A4" s="13" t="s">
        <v>6</v>
      </c>
    </row>
    <row r="5" spans="1:1">
      <c r="A5" s="13" t="s">
        <v>7</v>
      </c>
    </row>
    <row r="6" spans="1:1">
      <c r="A6" s="13" t="s">
        <v>8</v>
      </c>
    </row>
    <row r="7" spans="1:1">
      <c r="A7" s="13" t="s">
        <v>3</v>
      </c>
    </row>
    <row r="8" spans="1:1">
      <c r="A8" s="16" t="s">
        <v>9</v>
      </c>
    </row>
    <row r="9" spans="1:1">
      <c r="A9" s="16" t="s">
        <v>10</v>
      </c>
    </row>
    <row r="10" spans="1:1">
      <c r="A10" s="16" t="s">
        <v>11</v>
      </c>
    </row>
  </sheetData>
  <phoneticPr fontId="0" type="noConversion"/>
  <pageMargins left="0.75" right="0.75" top="1" bottom="1" header="0.5" footer="0.5"/>
  <pageSetup fitToHeight="0" orientation="portrait"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19</vt:i4>
      </vt:variant>
    </vt:vector>
  </HeadingPairs>
  <TitlesOfParts>
    <vt:vector size="21" baseType="lpstr">
      <vt:lpstr>Audit Document</vt:lpstr>
      <vt:lpstr>Classifications</vt:lpstr>
      <vt:lpstr>AM_AD_AUDIT_DUE_DATE_P</vt:lpstr>
      <vt:lpstr>AM_AUDIT_SUPPLIER_INFO_SF_P.AM_A_SUP_NUM_NAME_P</vt:lpstr>
      <vt:lpstr>AM_AUDIT_SUPPLIER_INFO_SF_P.AM_A_SUP_NUM_NAME_P.END</vt:lpstr>
      <vt:lpstr>ETQ_AUDITS_AUDIT_LEAD_AUDITOR</vt:lpstr>
      <vt:lpstr>ETQ_AUDITS_AUDIT_TYPE</vt:lpstr>
      <vt:lpstr>ETQ_CHECKLIST_DOCUMENT.AM_CD_ELEMENT_D</vt:lpstr>
      <vt:lpstr>ETQ_CHECKLIST_DOCUMENT.AM_CD_ELEMENT_D.END</vt:lpstr>
      <vt:lpstr>ETQ_CHECKLIST_DOCUMENT.ETQ_AUDITS_CHECKLIST_NAME</vt:lpstr>
      <vt:lpstr>ETQ_CHECKLIST_DOCUMENT.ETQ_AUDITS_CHECKLIST_NAME.END</vt:lpstr>
      <vt:lpstr>ETQ_CHECKLIST_QUESTIONS.ETQ_CHECKLIST_QUESTION_CLASSIFICATION</vt:lpstr>
      <vt:lpstr>ETQ_CHECKLIST_QUESTIONS.ETQ_CHECKLIST_QUESTION_CLASSIFICATION.END</vt:lpstr>
      <vt:lpstr>ETQ_CHECKLIST_QUESTIONS.ETQ_CHECKLIST_QUESTION_COMMENTS</vt:lpstr>
      <vt:lpstr>ETQ_CHECKLIST_QUESTIONS.ETQ_CHECKLIST_QUESTION_COMMENTS.END</vt:lpstr>
      <vt:lpstr>ETQ_CHECKLIST_QUESTIONS.ETQ_CHECKLIST_QUESTION_HINT</vt:lpstr>
      <vt:lpstr>ETQ_CHECKLIST_QUESTIONS.ETQ_CHECKLIST_QUESTION_HINT.END</vt:lpstr>
      <vt:lpstr>ETQ_CHECKLIST_QUESTIONS.ETQ_CHECKLIST_QUESTION_PREVIOUS_COMMENTS</vt:lpstr>
      <vt:lpstr>ETQ_CHECKLIST_QUESTIONS.ETQ_CHECKLIST_QUESTION_PREVIOUS_COMMENTS.END</vt:lpstr>
      <vt:lpstr>ETQ_CHECKLIST_QUESTIONS.ETQ_CHECKLIST_QUESTION_QUESTION</vt:lpstr>
      <vt:lpstr>ETQ_CHECKLIST_QUESTIONS.ETQ_CHECKLIST_QUESTION_QUESTION.END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Subramaniam, Nithya (Contractor)</dc:creator>
  <cp:lastModifiedBy>Chen, Bruce</cp:lastModifiedBy>
  <cp:lastPrinted>2016-02-29T12:54:02Z</cp:lastPrinted>
  <dcterms:created xsi:type="dcterms:W3CDTF">1996-10-14T23:33:28Z</dcterms:created>
  <dcterms:modified xsi:type="dcterms:W3CDTF">2025-08-19T07:18:05Z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TQ_AUDITS_AUDIT_TYPE">
    <vt:lpwstr>Goods Manufacturing Audit Protocol ( extended lab ) 2021</vt:lpwstr>
  </property>
  <property fmtid="{D5CDD505-2E9C-101B-9397-08002B2CF9AE}" pid="3" name="ETQ_AUDITS_AUDIT_LEAD_AUDITOR">
    <vt:lpwstr>Liu, Jackson</vt:lpwstr>
  </property>
  <property fmtid="{D5CDD505-2E9C-101B-9397-08002B2CF9AE}" pid="4" name="ETQ_CHECKLIST_DOCUMENT.ETQ_AUDITS_CHECKLIST_NAME">
    <vt:lpwstr>Leadership</vt:lpwstr>
  </property>
  <property fmtid="{D5CDD505-2E9C-101B-9397-08002B2CF9AE}" pid="5" name="ETQ_CHECKLIST_QUESTIONS.ETQ_CHECKLIST_QUESTION_QUESTION">
    <vt:lpwstr>Q&amp;FS System_x000d_
_x000d_
The supplier has a quality and food safety system that incorporates all activities that have an impact on the Q&amp;FS of material / product produced."</vt:lpwstr>
  </property>
  <property fmtid="{D5CDD505-2E9C-101B-9397-08002B2CF9AE}" pid="6" name="ETQ_CHECKLIST_QUESTIONS.ETQ_CHECKLIST_QUESTION_HINT">
    <vt:lpwstr>The business has a Q&amp;FS management system defined that is appropriate to the industry. _x000d_
The scope covers the business processes and the final materials / products / services rendered. Any exclusions are justified by risk assessment._x000d_
The operation and visibility of the Q&amp;FS Management System is an indication of the Quality culture of the organisation where more overt quality objectives and quality communications are more consistent with higher quality culture._x000d_
The Q&amp;FS management system is reviewed and updated in alignment with management/leadership expectations and oversight._x000d_
_x000d_
Evidence:_x000d_
 * A quality manual that defines the scope of the system , this includes all activities (internal and outsourced),  that can have an impact on the quality and safety of the materials/products/services supplied to Mars, and their operations._x000d_
* The Quality Manual could include purchasing, production, customer complaints, traceability, critical incident and recall procedures, laboratory, management reviews, transport and warehousing_x000d_
* Examples of documented procedures include management of outsourced activities that can impact Q&amp;FS. (e.g. pest management, cleaning and sanitation, transport logistics, storage, co-manufacturing/co-packing , training, laboratory analysis, calibration of testing equipment &amp; maintenance of infrastructure)._x000d_
 *These activities may be managed by the purchasing function &amp; the Q&amp;FS controls needs to be identified and documented._x000d_
 * A quality plan with overt quality objectives and a communication cascade of quality objectives and performance across the organisation.</vt:lpwstr>
  </property>
  <property fmtid="{D5CDD505-2E9C-101B-9397-08002B2CF9AE}" pid="7" name="ETQ_CHECKLIST_QUESTIONS.ETQ_CHECKLIST_QUESTION_COMMENTS">
    <vt:lpwstr>      </vt:lpwstr>
  </property>
  <property fmtid="{D5CDD505-2E9C-101B-9397-08002B2CF9AE}" pid="8" name="ETQ_CHECKLIST_QUESTIONS.ETQ_CHECKLIST_QUESTION_PREVIOUS_COMMENTS">
    <vt:lpwstr>      </vt:lpwstr>
  </property>
  <property fmtid="{D5CDD505-2E9C-101B-9397-08002B2CF9AE}" pid="9" name="ETQ_CHECKLIST_QUESTIONS.ETQ_CHECKLIST_QUESTION_CLASSIFICATION">
    <vt:lpwstr>      </vt:lpwstr>
  </property>
  <property fmtid="{D5CDD505-2E9C-101B-9397-08002B2CF9AE}" pid="10" name="ETQ_CHECKLIST_DOCUMENT.AM_CD_ELEMENT_D">
    <vt:lpwstr>QMPv3 9.1.1 Scope</vt:lpwstr>
  </property>
  <property fmtid="{D5CDD505-2E9C-101B-9397-08002B2CF9AE}" pid="11" name="AM_AD_AUDIT_DUE_DATE_P">
    <vt:lpwstr>May 13, 2025</vt:lpwstr>
  </property>
  <property fmtid="{D5CDD505-2E9C-101B-9397-08002B2CF9AE}" pid="12" name="AM_AUDIT_SUPPLIER_INFO_SF_P.AM_A_SUP_NUM_NAME_P">
    <vt:lpwstr>17594497 - Brightmoon Qingdao</vt:lpwstr>
  </property>
  <property fmtid="{D5CDD505-2E9C-101B-9397-08002B2CF9AE}" pid="13" name="ETQ_CHECKLIST_DOCUMENT.ETQ_AUDITS_CHECKLIST_NAME#26">
    <vt:lpwstr>Food Safety Management Program (DO)</vt:lpwstr>
  </property>
  <property fmtid="{D5CDD505-2E9C-101B-9397-08002B2CF9AE}" pid="14" name="ETQ_CHECKLIST_QUESTIONS.ETQ_CHECKLIST_QUESTION_COMMENTS#4">
    <vt:lpwstr>      </vt:lpwstr>
  </property>
  <property fmtid="{D5CDD505-2E9C-101B-9397-08002B2CF9AE}" pid="15" name="ETQ_CHECKLIST_QUESTIONS.ETQ_CHECKLIST_QUESTION_HINT#53">
    <vt:lpwstr>The laboratory is a dedicated, contained area, separate from the manufacturing operation. _x000d_
Access is controlled and microbiology labs will have additional levels of segregation and movement restrictions. If pathogen testing takes place in Supplier on-site lab, the robust controls must be in place to prevent potential cross-contamination between lab and plant. _x000d_
It has adequate fixtures, fittings, space, ventilation, power, heating, lighting etc to provide suitable working conditions. Equipment is suitable  and records are kept for service, maintenance and calibration. _x000d_
The lab (including sample reception/preparation areas) is clean and tidy and free from unnecessary material eg packaging, waste sample etc. There is a scheduled cleaning plan to cover floors, benches, equipment and clothing. Cleaning processes will be validated and suitable disinfectants identified for use in microbiology labs. _x000d_
Routine environmental monitoring is conducted, where appropriate, with defined acceptable limits plus records of results and actions taken where not conforming._x000d_
Re-usable sample containers that used to transport samples to/from plant/lab must be cleaned and cleanliness is verified to prevent a potential cross-contamination between production plant and microbiological lab_x000d_
For microbiological lab, review sample and personnel flow to ensure there is no cross-traffic to prevent cross-contamination between the plant and on-site laboratory_x000d_
_x000d_
Evidence:_x000d_
During lab visit and factory visit_x000d_
* Check records for the cleaning of the laboratory and  what is included, also check the SSOP is available_x000d_
* Check records for the environmental testing done ( where appropriate)  and verify that CA are documented _x000d_
- For microbiological lab, review sample and personnel flow to ensure there is no cross-traffic to prevent cross-contamination between the plant and on-site laboratory</vt:lpwstr>
  </property>
  <property fmtid="{D5CDD505-2E9C-101B-9397-08002B2CF9AE}" pid="16" name="ETQ_CHECKLIST_QUESTIONS.ETQ_CHECKLIST_QUESTION_PREVIOUS_COMMENTS#54">
    <vt:lpwstr>      </vt:lpwstr>
  </property>
  <property fmtid="{D5CDD505-2E9C-101B-9397-08002B2CF9AE}" pid="17" name="ETQ_CHECKLIST_QUESTIONS.ETQ_CHECKLIST_QUESTION_PREVIOUS_COMMENTS#32">
    <vt:lpwstr>      </vt:lpwstr>
  </property>
  <property fmtid="{D5CDD505-2E9C-101B-9397-08002B2CF9AE}" pid="18" name="ETQ_CHECKLIST_QUESTIONS.ETQ_CHECKLIST_QUESTION_HINT#59">
    <vt:lpwstr>IQC_x000d_
Check how the lab assures the accuracy and precision of the result in each batch of analysis._x000d_
a) Is there secondary control sample run in each batch or what frequency? Is it the same material and analyte concentration as the sample being tested?  Do they run traceable certified reference materials to verify accuracy? There will be defined control limits for secondary control samples (SPC) and a procedure for dealing with out of spec IQC results. Examine IQC records and actions taken when not conforming. _x000d_
b) Where tests are conducted in duplicate there will be defined acceptability limits for the maximum difference between duplicates (limits will be statistically derived from the repeatability of the method). What happens when duplicates do not agree?_x000d_
EQC_x000d_
Request external proficiency testing records and check how often do they participate and whether the materials/concentrations relevant. If the laboratory did not pass the test, check that there are corrective actions taken, also verified for their effectiveness. For the supplier's laboratory that is ISO17025 accredited, verify the accreditation status and scope.  _x000d_
_x000d_
                                                                                      _x000d_
a) by an external independent auditing body                                                                    _x000d_
b) on annual basis                                                                                            _x000d_
c) in following areas:_x000d_
.Document Control and Records _x000d_
.Training and Competency _x000d_
.Test Methods and Method Validation _x000d_
.Measurement Traceability (Calibration) _x000d_
.Handling of Test Items _x000d_
.Assuring the Quality of Test Results (daily QC and ongoing proficiency schemes)</vt:lpwstr>
  </property>
  <property fmtid="{D5CDD505-2E9C-101B-9397-08002B2CF9AE}" pid="19" name="ETQ_CHECKLIST_QUESTIONS.ETQ_CHECKLIST_QUESTION_CLASSIFICATION#4">
    <vt:lpwstr>      </vt:lpwstr>
  </property>
  <property fmtid="{D5CDD505-2E9C-101B-9397-08002B2CF9AE}" pid="20" name="ETQ_CHECKLIST_QUESTIONS.ETQ_CHECKLIST_QUESTION_PREVIOUS_COMMENTS#49">
    <vt:lpwstr>      </vt:lpwstr>
  </property>
  <property fmtid="{D5CDD505-2E9C-101B-9397-08002B2CF9AE}" pid="21" name="ETQ_CHECKLIST_QUESTIONS.ETQ_CHECKLIST_QUESTION_HINT#56">
    <vt:lpwstr>Using a selected CoA, check who performed the test and request records showing that this person(s) is trained and qualified to do so. Interview an analyst and ask them to describe the training process. Objective evidence of competency  is available:_x000d_
Accuracy: a suitable number of 'retest' samples have been run (minimum of 3, ideally 6), and that the data is within an acceptable tolerance of a previous trained analyst. Wherever possible, competency should also include a successful pass on an EQC sample or reference material._x000d_
Precision: the training include either running duplicates or one sample multiple times and that the precision lies within acceptable tolerances as defined in the method_x000d_
Check that responsibilities and authorities are identified for the different roles e.g. reviewing and authorising the results, reviewing and authorising the report, performing analysis, performing calibrations, etc.</vt:lpwstr>
  </property>
  <property fmtid="{D5CDD505-2E9C-101B-9397-08002B2CF9AE}" pid="22" name="ETQ_CHECKLIST_DOCUMENT.AM_CD_ELEMENT_D#33">
    <vt:lpwstr>HACCP 5.5  - Establishing the Control program</vt:lpwstr>
  </property>
  <property fmtid="{D5CDD505-2E9C-101B-9397-08002B2CF9AE}" pid="23" name="ETQ_CHECKLIST_QUESTIONS.ETQ_CHECKLIST_QUESTION_PREVIOUS_COMMENTS#60">
    <vt:lpwstr>      </vt:lpwstr>
  </property>
  <property fmtid="{D5CDD505-2E9C-101B-9397-08002B2CF9AE}" pid="24" name="ETQ_CHECKLIST_QUESTIONS.ETQ_CHECKLIST_QUESTION_QUESTION#45">
    <vt:lpwstr>Chemical (Incl. Allergen) Contamination /Control_x000d_
_x000d_
Programmes are in place to prevent, control and detect Chemical contamination risks.</vt:lpwstr>
  </property>
  <property fmtid="{D5CDD505-2E9C-101B-9397-08002B2CF9AE}" pid="25" name="ETQ_CHECKLIST_DOCUMENT.AM_CD_ELEMENT_D#18">
    <vt:lpwstr>QMPv3 9.5.5.3 Property belonging to Clients, Customers or External Suppliers</vt:lpwstr>
  </property>
  <property fmtid="{D5CDD505-2E9C-101B-9397-08002B2CF9AE}" pid="26" name="ETQ_CHECKLIST_QUESTIONS.ETQ_CHECKLIST_QUESTION_CLASSIFICATION#8">
    <vt:lpwstr>      </vt:lpwstr>
  </property>
  <property fmtid="{D5CDD505-2E9C-101B-9397-08002B2CF9AE}" pid="27" name="ETQ_CHECKLIST_QUESTIONS.ETQ_CHECKLIST_QUESTION_COMMENTS#54">
    <vt:lpwstr>      </vt:lpwstr>
  </property>
  <property fmtid="{D5CDD505-2E9C-101B-9397-08002B2CF9AE}" pid="28" name="ETQ_CHECKLIST_QUESTIONS.ETQ_CHECKLIST_QUESTION_HINT#40">
    <vt:lpwstr>The internal layout of the factory must be suitable for the type of materials / products produced (sufficient space, correct flow of people, materials, finished product, etc.)._x000d_
_x000d_
Review documentation on the design &amp; layout of the factory and equipment to verify that consideration has been given to correct flows of people, raw material, finished product in order to prevent contamination issues._x000d_
_x000d_
1. Internal design, layout and traffic patterns: the building should provide adequate space, with a logical flow of materials, products and personnel, and physical separation (e.g. walls, barriers, partitions, sufficient distance) of raw from processed areas. Openings intended for transfer of materials should be designed to minimise the ingress of foreign materials and pests._x000d_
_x000d_
2. Internal structures and fittings: walls and floors should be washable or cleanable, as appropriate for the process or product hazard. Materials of construction should be resistant to the cleaning system applied. Wall floor junctions and corners should be designed to facilitate cleaning (ideally rounded). Floors shall be designed to avoid standing water. In wet process areas, floors shall be sealed and drained. Drains shall be trapped and covered. Ceilings and overhead fixtures shall be designed to minimise build-up of dirt and condensation. External opening windows, roof vents or fan, where present, shall be insect screened. External opening doors shall be closed or screened when not in use._x000d_
_x000d_
3. Location of equipment: equipment should be designed and located to facilitate hygienic practices and monitoring. Equipment should be located to permit access for operation, cleaning and maintenance._x000d_
_x000d_
4. Laboratory facilities: in-line and on-line test facilities shall be controlled to minimize risk of product contamination. Microbiology laboratories shall be designed, located and operated so as to prevent contamination of people, plant and products. They shall not open directly on to a production area._x000d_
_x000d_
5. Temporary or mobile premises: temporary structures shall be designed, located and constructed to avoid pest harbourage and potential contamination of products._x000d_
_x000d_
_x000d_
Evidence_x000d_
During factory visit:_x000d_
* Check that laboratory facilities does not represent a risk for cross contamination from people, traffic, management of samples, disposition, etc._x000d_
* Check lay outs are those design adequate, are traffic  patters adequate, with logical flow of materials, personnel, raw materials, equipment, tools, air, waste management _x000d_
* Check that there is no evidence of leaks of water, if tarps are present they are dated and do not pose risk of cross contamination_x000d_
* Standing water is not observed, structures and fittings are adequate to do not pose a risk of harborage of food, dust, that could become a micro risk</vt:lpwstr>
  </property>
  <property fmtid="{D5CDD505-2E9C-101B-9397-08002B2CF9AE}" pid="29" name="ETQ_CHECKLIST_QUESTIONS.ETQ_CHECKLIST_QUESTION_CLASSIFICATION#9">
    <vt:lpwstr>      </vt:lpwstr>
  </property>
  <property fmtid="{D5CDD505-2E9C-101B-9397-08002B2CF9AE}" pid="30" name="ETQ_CHECKLIST_QUESTIONS.ETQ_CHECKLIST_QUESTION_COMMENTS#66">
    <vt:lpwstr>      </vt:lpwstr>
  </property>
  <property fmtid="{D5CDD505-2E9C-101B-9397-08002B2CF9AE}" pid="31" name="ETQ_CHECKLIST_QUESTIONS.ETQ_CHECKLIST_QUESTION_CLASSIFICATION#56">
    <vt:lpwstr>      </vt:lpwstr>
  </property>
  <property fmtid="{D5CDD505-2E9C-101B-9397-08002B2CF9AE}" pid="32" name="ETQ_CHECKLIST_DOCUMENT.AM_CD_ELEMENT_D#63">
    <vt:lpwstr>QMPv3 9.6.1  Management review of quality</vt:lpwstr>
  </property>
  <property fmtid="{D5CDD505-2E9C-101B-9397-08002B2CF9AE}" pid="33" name="ETQ_CHECKLIST_QUESTIONS.ETQ_CHECKLIST_QUESTION_HINT#20">
    <vt:lpwstr>Materials/products/services are monitored / measured against their Q&amp;FS &amp; regulatory criteria.  Monitoring occurs at the appropriate stage to verify that the Mars requirements are met throughout their production and logistics stages_x000d_
Supplier must determine _x000d_
-suitable method and frequency of monitoring_x000d_
- quality criteria for products at appropriate stage , which criteria must be met before release of product _x000d_
- when the results from monitoring and measurement shall be analysed and evaluated ( and who )  _x000d_
_x000d_
Material include raw materials, food contact material include packaging , in-process product , end product, non-conforming product and rework_x000d_
_x000d_
_x000d_
Records of conformance to these criteria must be kept, including authorisation of release where applicable_x000d_
_x000d_
Such records must indicate the responsible person(s) authorising the release of product for delivery to Mars. _x000d_
_x000d_
Evidence:-_x000d_
* Confirm the material Q&amp;FS is monitored and measured against a defined plan._x000d_
* Check that there is a clear sampling plan defining the number of samples to be tested, the sampling method and frequency. _x000d_
* Confirm that the targets and tolerances are aligned with the Mars specifications. _x000d_
* Confirm actions taken following any non conformances (e.g. Hold and Release procedures)._x000d_
*records of conformance , including authorisation of release where applicable</vt:lpwstr>
  </property>
  <property fmtid="{D5CDD505-2E9C-101B-9397-08002B2CF9AE}" pid="34" name="ETQ_CHECKLIST_QUESTIONS.ETQ_CHECKLIST_QUESTION_QUESTION#58">
    <vt:lpwstr>Records and data are traceable, retrievable and stored to prevent loss and ensure integrity and confidentiality.</vt:lpwstr>
  </property>
  <property fmtid="{D5CDD505-2E9C-101B-9397-08002B2CF9AE}" pid="35" name="ETQ_CHECKLIST_QUESTIONS.ETQ_CHECKLIST_QUESTION_QUESTION#5">
    <vt:lpwstr>Food Fraud_x000d_
A food fraud vulnerability program is in place to identify and manage hazards associated with economically-motivated material adulteration</vt:lpwstr>
  </property>
  <property fmtid="{D5CDD505-2E9C-101B-9397-08002B2CF9AE}" pid="36" name="ETQ_CHECKLIST_QUESTIONS.ETQ_CHECKLIST_QUESTION_PREVIOUS_COMMENTS#34">
    <vt:lpwstr>      </vt:lpwstr>
  </property>
  <property fmtid="{D5CDD505-2E9C-101B-9397-08002B2CF9AE}" pid="37" name="ETQ_CHECKLIST_QUESTIONS.ETQ_CHECKLIST_QUESTION_QUESTION#37">
    <vt:lpwstr>Validation of controls_x000d_
_x000d_
Control measures must be validated to demonstrate capability of achieving the intended control of the food safety hazard(s) for which they are designed.</vt:lpwstr>
  </property>
  <property fmtid="{D5CDD505-2E9C-101B-9397-08002B2CF9AE}" pid="38" name="ETQ_CHECKLIST_QUESTIONS.ETQ_CHECKLIST_QUESTION_HINT#23">
    <vt:lpwstr>The supplier must establish and apply a traceability system that enables the identification of product lots and their relation to batches of raw materials, primary packaging materials, processing-aids, in-process material, rework creation/usage,  non conform product, destroyed and donated products, processing and delivery records._x000d_
_x000d_
The supplier must ensure that their suppliers are capable of tracking back to their suppliers and forward to delivery to their customers_x000d_
_x000d_
The traceability system must also enable identification of incoming materials through to all lots of the final material /product._x000d_
 The suppliers own supplier quality management program must verify their suppliers traceability program.  Traceability needs to go back up to the production plant of the manufacturer of the e.g. ingredient. Tracing back to traders, distributors, agents and brokers is not enough._x000d_
The Mars Traceability Standard defines a target time of 4 hours to complete the tracing exercise._x000d_
Best practice is for supplier to have a documented traceability process with  justified % of recovery and time._x000d_
_x000d_
 Records of key information (e.g. traceability data, quality data, CCP and OPRP records) must be retained for a defined period of time, as a minimum to be the shelf life of the  material /product plus the shelf life of the Mars product, to enable the isolation and retrieval of potentially unsafe materials /products in the event of a critical product incident. Legal requirements must also be met for record keeping of traceability data. _x000d_
Samples of materials / products must be kept as required per the material/ industry  dictates  in the Mars specifications _x000d_
Evidence:-_x000d_
* Run a traceability exercise on a production lot back to all raw materials,  Check the information can be found within 4 hours._x000d_
If it fails, are there corrective actions documented ,and CA verified for effectiveness_x000d_
* Run a traceability exercise on one batch or raw material to trace all the finished material  which used this material batch. Best practise is to widen the scope of the traceability exercise to include raw material , packaging, rework, process aids , destroyed products , finished products ( as applicable)  Certificates of Analysis, inbound checks, etc._x000d_
* Review effectiveness of CAPA from trace exercise_x000d_
* evidence that  lots numbers are uniquely identified to identify lot and allow  traceability _x000d_
* The supplier quality management program must include confirmation of their suppliers traceability program e.g. via audit question, 3rd party audit and a practical trace exercise._x000d_
* Confirm the correct batch details on inbound materials /products are recorded._x000d_
* Check records exist for a time period of minimum of the shelf life of the material /product + shelf life of Mars product, and is compliant with legal requirements._x000d_
* Check any legal requirements are met for record keeping._x000d_
* Check supplier maintains  retained samples as per the standard  industry requirements and / or  meet the requirements of  Mars  (when defined)</vt:lpwstr>
  </property>
  <property fmtid="{D5CDD505-2E9C-101B-9397-08002B2CF9AE}" pid="39" name="ETQ_CHECKLIST_QUESTIONS.ETQ_CHECKLIST_QUESTION_HINT#13">
    <vt:lpwstr>The process design / configeration is able to meet Mars specification and requirements. _x000d_
It is understood how the process can be adjusted to ensure risks defined in the specification can be achieved.  _x000d_
Process steps and an understanding of how to control the process through adjustment of the process to maintain the product within specified tolerences during manufacture can be described and is documented in operations instructions._x000d_
The process is commissioned and the process instructions have been validated to demonstrate that the outputs of design, development and deployment are capable of meeting the specified application or intended use. _x000d_
This is performed prior to supplying the product or service. Where process capability can not be demonstrated during any of these activities, appropriate action must be taken._x000d_
  _x000d_
Evidence:-_x000d_
* Records of process capability outcomes and actions _x000d_
* Records are retained of process capability evidence of each stage and control of this process, including actions taken when any problems are encountered_x000d_
* The current Mars specification is present is agreed for each parameter relevant to the process capability.</vt:lpwstr>
  </property>
  <property fmtid="{D5CDD505-2E9C-101B-9397-08002B2CF9AE}" pid="40" name="ETQ_CHECKLIST_QUESTIONS.ETQ_CHECKLIST_QUESTION_QUESTION#66">
    <vt:lpwstr>Action to Improve the Q&amp;FS system_x000d_
_x000d_
The supplier ensures continual improvement of the quality and food safety management system</vt:lpwstr>
  </property>
  <property fmtid="{D5CDD505-2E9C-101B-9397-08002B2CF9AE}" pid="41" name="ETQ_CHECKLIST_QUESTIONS.ETQ_CHECKLIST_QUESTION_PREVIOUS_COMMENTS#29">
    <vt:lpwstr>      </vt:lpwstr>
  </property>
  <property fmtid="{D5CDD505-2E9C-101B-9397-08002B2CF9AE}" pid="42" name="ETQ_CHECKLIST_DOCUMENT.AM_CD_ELEMENT_D#6">
    <vt:lpwstr>QMPv3 9.3.2 Quality Objectives</vt:lpwstr>
  </property>
  <property fmtid="{D5CDD505-2E9C-101B-9397-08002B2CF9AE}" pid="43" name="ETQ_CHECKLIST_DOCUMENT.AM_CD_ELEMENT_D#1">
    <vt:lpwstr>QMPv3 9.2.1 Management Leadership and Commitment</vt:lpwstr>
  </property>
  <property fmtid="{D5CDD505-2E9C-101B-9397-08002B2CF9AE}" pid="44" name="ETQ_CHECKLIST_QUESTIONS.ETQ_CHECKLIST_QUESTION_COMMENTS#21">
    <vt:lpwstr>      </vt:lpwstr>
  </property>
  <property fmtid="{D5CDD505-2E9C-101B-9397-08002B2CF9AE}" pid="45" name="ETQ_CHECKLIST_DOCUMENT.AM_CD_ELEMENT_D#50">
    <vt:lpwstr>GMP 10.8 Personnel Hygiene and Employee Facilities - Personal Behaviour</vt:lpwstr>
  </property>
  <property fmtid="{D5CDD505-2E9C-101B-9397-08002B2CF9AE}" pid="46" name="ETQ_CHECKLIST_DOCUMENT.AM_CD_ELEMENT_D#58">
    <vt:lpwstr>MQM 3. Step 3.2.1. Acceptable Laboratory Data - Records</vt:lpwstr>
  </property>
  <property fmtid="{D5CDD505-2E9C-101B-9397-08002B2CF9AE}" pid="47" name="ETQ_CHECKLIST_QUESTIONS.ETQ_CHECKLIST_QUESTION_COMMENTS#9">
    <vt:lpwstr>      </vt:lpwstr>
  </property>
  <property fmtid="{D5CDD505-2E9C-101B-9397-08002B2CF9AE}" pid="48" name="ETQ_CHECKLIST_QUESTIONS.ETQ_CHECKLIST_QUESTION_QUESTION#48">
    <vt:lpwstr>Pest Management _x000d_
_x000d_
A pest management program covering buildings, production operation and control programs are effective  in preventing pest contamination.</vt:lpwstr>
  </property>
  <property fmtid="{D5CDD505-2E9C-101B-9397-08002B2CF9AE}" pid="49" name="ETQ_CHECKLIST_QUESTIONS.ETQ_CHECKLIST_QUESTION_CLASSIFICATION#25">
    <vt:lpwstr>      </vt:lpwstr>
  </property>
  <property fmtid="{D5CDD505-2E9C-101B-9397-08002B2CF9AE}" pid="50" name="ETQ_CHECKLIST_DOCUMENT.AM_CD_ELEMENT_D#59">
    <vt:lpwstr>MQM 3.2.1 Acceptable Laboratory Data -Assuring the Quality of Test Result.</vt:lpwstr>
  </property>
  <property fmtid="{D5CDD505-2E9C-101B-9397-08002B2CF9AE}" pid="51" name="ETQ_CHECKLIST_QUESTIONS.ETQ_CHECKLIST_QUESTION_COMMENTS#19">
    <vt:lpwstr>      </vt:lpwstr>
  </property>
  <property fmtid="{D5CDD505-2E9C-101B-9397-08002B2CF9AE}" pid="52" name="ETQ_CHECKLIST_DOCUMENT.AM_CD_ELEMENT_D#56">
    <vt:lpwstr>MQM 3. Step 3.2.1. Acceptable Laboratory Data - Training and Competency</vt:lpwstr>
  </property>
  <property fmtid="{D5CDD505-2E9C-101B-9397-08002B2CF9AE}" pid="53" name="ETQ_CHECKLIST_QUESTIONS.ETQ_CHECKLIST_QUESTION_CLASSIFICATION#27">
    <vt:lpwstr>      </vt:lpwstr>
  </property>
  <property fmtid="{D5CDD505-2E9C-101B-9397-08002B2CF9AE}" pid="54" name="ETQ_CHECKLIST_QUESTIONS.ETQ_CHECKLIST_QUESTION_CLASSIFICATION#65">
    <vt:lpwstr>      </vt:lpwstr>
  </property>
  <property fmtid="{D5CDD505-2E9C-101B-9397-08002B2CF9AE}" pid="55" name="ETQ_CHECKLIST_QUESTIONS.ETQ_CHECKLIST_QUESTION_CLASSIFICATION#47">
    <vt:lpwstr>      </vt:lpwstr>
  </property>
  <property fmtid="{D5CDD505-2E9C-101B-9397-08002B2CF9AE}" pid="56" name="ETQ_CHECKLIST_QUESTIONS.ETQ_CHECKLIST_QUESTION_CLASSIFICATION#31">
    <vt:lpwstr>      </vt:lpwstr>
  </property>
  <property fmtid="{D5CDD505-2E9C-101B-9397-08002B2CF9AE}" pid="57" name="ETQ_CHECKLIST_QUESTIONS.ETQ_CHECKLIST_QUESTION_PREVIOUS_COMMENTS#3">
    <vt:lpwstr>      </vt:lpwstr>
  </property>
  <property fmtid="{D5CDD505-2E9C-101B-9397-08002B2CF9AE}" pid="58" name="ETQ_CHECKLIST_QUESTIONS.ETQ_CHECKLIST_QUESTION_QUESTION#46">
    <vt:lpwstr>Physical Hazard Contamination / Control_x000d_
_x000d_
Programmes are in place to prevent, control and detect physical hazard contamination risks.</vt:lpwstr>
  </property>
  <property fmtid="{D5CDD505-2E9C-101B-9397-08002B2CF9AE}" pid="59" name="ETQ_CHECKLIST_DOCUMENT.AM_CD_ELEMENT_D#34">
    <vt:lpwstr>HACCP 5.6.1 Establishing the HACCP Plan - HACCP Plan</vt:lpwstr>
  </property>
  <property fmtid="{D5CDD505-2E9C-101B-9397-08002B2CF9AE}" pid="60" name="ETQ_CHECKLIST_QUESTIONS.ETQ_CHECKLIST_QUESTION_PREVIOUS_COMMENTS#28">
    <vt:lpwstr>      </vt:lpwstr>
  </property>
  <property fmtid="{D5CDD505-2E9C-101B-9397-08002B2CF9AE}" pid="61" name="ETQ_CHECKLIST_QUESTIONS.ETQ_CHECKLIST_QUESTION_QUESTION#63">
    <vt:lpwstr>Q&amp;FS reviews_x000d_
_x000d_
Management confirms that the Q&amp;FS management system is working effectively through periodic &amp; structured reviews.</vt:lpwstr>
  </property>
  <property fmtid="{D5CDD505-2E9C-101B-9397-08002B2CF9AE}" pid="62" name="ETQ_CHECKLIST_QUESTIONS.ETQ_CHECKLIST_QUESTION_COMMENTS#39">
    <vt:lpwstr>      </vt:lpwstr>
  </property>
  <property fmtid="{D5CDD505-2E9C-101B-9397-08002B2CF9AE}" pid="63" name="ETQ_CHECKLIST_QUESTIONS.ETQ_CHECKLIST_QUESTION_HINT#29">
    <vt:lpwstr>The hazard analysis should be performed by an appointed multi-disciplinary team with knowledge of chemical, physical and biological hazards and that has a combined knowledge of the product/line. _x000d_
_x000d_
Evidence:-_x000d_
* Training records for the team members and their knowledge &amp; experience need to be demonstrated. _x000d_
_x000d_
The hazard analysis needs to include a documented factory layout including all facilities that are part of the infrastructure of the site (production lines, storage areas, utilities and personnel facilities) and routing of products, personnel and air flows (where applicable)._x000d_
 _x000d_
The supplier must have flow diagrams covering all products in their food safety management programme. _x000d_
_x000d_
Materials / Products can be grouped in product categories if it does not negatively affect the clarity, accuracy and sufficient level of detail._x000d_
_x000d_
Evidence:-_x000d_
* Flow diagrams (including outsourced or subcontracted work, purchasing of raw materials, ingredients and intermediate products, reworking and recycling, removal of end products, intermediate products, by-products, waste.  _x000d_
* External requirements that may impact control measures should be identified._x000d_
* Confirm the accuracy of the flow diagram during the facilities visit.  _x000d_
* Check that the hazard analysis and flow diagrams are maintained as a controlled document.</vt:lpwstr>
  </property>
  <property fmtid="{D5CDD505-2E9C-101B-9397-08002B2CF9AE}" pid="64" name="ETQ_CHECKLIST_DOCUMENT.ETQ_AUDITS_CHECKLIST_NAME#39">
    <vt:lpwstr>Good Manufacturing Practices (DO)</vt:lpwstr>
  </property>
  <property fmtid="{D5CDD505-2E9C-101B-9397-08002B2CF9AE}" pid="65" name="ETQ_CHECKLIST_QUESTIONS.ETQ_CHECKLIST_QUESTION_QUESTION#3">
    <vt:lpwstr>Risk and Opportunities   Management has identified, assessed and actioned business Risks and Opportunities to meet customer expectations.</vt:lpwstr>
  </property>
  <property fmtid="{D5CDD505-2E9C-101B-9397-08002B2CF9AE}" pid="66" name="ETQ_CHECKLIST_QUESTIONS.ETQ_CHECKLIST_QUESTION_PREVIOUS_COMMENTS#8">
    <vt:lpwstr>      </vt:lpwstr>
  </property>
  <property fmtid="{D5CDD505-2E9C-101B-9397-08002B2CF9AE}" pid="67" name="ETQ_CHECKLIST_QUESTIONS.ETQ_CHECKLIST_QUESTION_PREVIOUS_COMMENTS#40">
    <vt:lpwstr>      </vt:lpwstr>
  </property>
  <property fmtid="{D5CDD505-2E9C-101B-9397-08002B2CF9AE}" pid="68" name="ETQ_CHECKLIST_QUESTIONS.ETQ_CHECKLIST_QUESTION_QUESTION#39">
    <vt:lpwstr>Building design and construction_x000d_
_x000d_
The building design and construction is durable, in good state of maintenance and appropriate for the nature of the operation to prevent quality and food safety incidents.</vt:lpwstr>
  </property>
  <property fmtid="{D5CDD505-2E9C-101B-9397-08002B2CF9AE}" pid="69" name="ETQ_CHECKLIST_QUESTIONS.ETQ_CHECKLIST_QUESTION_COMMENTS#62">
    <vt:lpwstr>      </vt:lpwstr>
  </property>
  <property fmtid="{D5CDD505-2E9C-101B-9397-08002B2CF9AE}" pid="70" name="ETQ_CHECKLIST_QUESTIONS.ETQ_CHECKLIST_QUESTION_CLASSIFICATION#55">
    <vt:lpwstr>      </vt:lpwstr>
  </property>
  <property fmtid="{D5CDD505-2E9C-101B-9397-08002B2CF9AE}" pid="71" name="ETQ_CHECKLIST_DOCUMENT.AM_CD_ELEMENT_D#16">
    <vt:lpwstr>MQM 3.1 QMP V3 9.5.4. Purchasing and control of externally provided process , materials , products and services (risk based)</vt:lpwstr>
  </property>
  <property fmtid="{D5CDD505-2E9C-101B-9397-08002B2CF9AE}" pid="72" name="ETQ_CHECKLIST_QUESTIONS.ETQ_CHECKLIST_QUESTION_PREVIOUS_COMMENTS#47">
    <vt:lpwstr>      </vt:lpwstr>
  </property>
  <property fmtid="{D5CDD505-2E9C-101B-9397-08002B2CF9AE}" pid="73" name="ETQ_CHECKLIST_DOCUMENT.AM_CD_ELEMENT_D#49">
    <vt:lpwstr>GMP 10.1 Personnel Hygiene and Employee Facilities - General Requirements</vt:lpwstr>
  </property>
  <property fmtid="{D5CDD505-2E9C-101B-9397-08002B2CF9AE}" pid="74" name="ETQ_CHECKLIST_QUESTIONS.ETQ_CHECKLIST_QUESTION_HINT#51">
    <vt:lpwstr>Rework is defined as reuse of a material back into the production process. _x000d_
_x000d_
1. Storage, identification and traceability: _x000d_
_x000d_
-Stored rework shall be protected from exposure to microbiological, chemical or extraneous matter contamination. _x000d_
_x000d_
-Segregation requirements for rework (e.g. allergen) shall be documented and met. _x000d_
_x000d_
-Rework shall be clearly identified and/or labelled to allow traceability. _x000d_
_x000d_
-Traceability records for rework shall be maintained. The rework classification or the reason for rework designation shall be recorded (e.g. product name, production date, shift, line of origin, shelf-life)._x000d_
_x000d_
2. Rework usage: _x000d_
_x000d_
-Where rework is incorporated into a product as an “in-process” step, the acceptable quantity, type and conditions of rework use shall be specified. _x000d_
_x000d_
-The process step and method of addition, including any necessary pre-processing stages, shall be defined. _x000d_
_x000d_
Where rework activities involve removing a product from filled or wrapped packages, controls shall be put in place to ensure the removal and segregation of packaging materials and to avoid contamination of the product with extraneous matter._x000d_
_x000d_
Attention to allergens, GMOs, forbidden materials, other consumer related requirements (kosher, Halal, vegetarian, organic) must be paid._x000d_
_x000d_
Evidence_x000d_
*Check that rework procedure is documented_x000d_
*Check records  for rework usage</vt:lpwstr>
  </property>
  <property fmtid="{D5CDD505-2E9C-101B-9397-08002B2CF9AE}" pid="75" name="ETQ_CHECKLIST_DOCUMENT.AM_CD_ELEMENT_D#17">
    <vt:lpwstr>MQM 4.1  QMP V3 9.5.4. Purchasing and control of externally provided process , materials , products and services ( specified and verified)</vt:lpwstr>
  </property>
  <property fmtid="{D5CDD505-2E9C-101B-9397-08002B2CF9AE}" pid="76" name="ETQ_CHECKLIST_QUESTIONS.ETQ_CHECKLIST_QUESTION_PREVIOUS_COMMENTS#48">
    <vt:lpwstr>      </vt:lpwstr>
  </property>
  <property fmtid="{D5CDD505-2E9C-101B-9397-08002B2CF9AE}" pid="77" name="ETQ_CHECKLIST_QUESTIONS.ETQ_CHECKLIST_QUESTION_HINT#31">
    <vt:lpwstr>Food safety hazards must be evaluated according to the possible severity of adverse health effects (Severity of Effect) and the likelihood of their occurrence. _x000d_
The significance of the hazard must then be derived. The step at which the hazard is introduced, can occur or increase must be indicated._x000d_
_x000d_
Confirm that the supplier has also identified all significant hazards listed in the Mars MRA/PRA/EMPRA. _x000d_
_x000d_
The methodology used for this evaluation must be described, and the results of the food safety hazard assessment must be recorded._x000d_
_x000d_
Evidence to be seen documented in the hazard analysis:-_x000d_
* Check for all the hazards identified, that the LoO and SoE is assessed against documented criteria. _x000d_
* Check the criteria used to rate the LoO and SoE are aligned with Mars expectations_x000d_
* Check the methodology used to combine the LoO and SoE to give an overall hazard significance is documented and based on sound principles.</vt:lpwstr>
  </property>
  <property fmtid="{D5CDD505-2E9C-101B-9397-08002B2CF9AE}" pid="78" name="ETQ_CHECKLIST_QUESTIONS.ETQ_CHECKLIST_QUESTION_CLASSIFICATION#18">
    <vt:lpwstr>      </vt:lpwstr>
  </property>
  <property fmtid="{D5CDD505-2E9C-101B-9397-08002B2CF9AE}" pid="79" name="ETQ_CHECKLIST_QUESTIONS.ETQ_CHECKLIST_QUESTION_QUESTION#25">
    <vt:lpwstr>Traceability for  identify preservation _x000d_
A process for all materials requiring identity to be maintained for claims is followed</vt:lpwstr>
  </property>
  <property fmtid="{D5CDD505-2E9C-101B-9397-08002B2CF9AE}" pid="80" name="ETQ_CHECKLIST_DOCUMENT.AM_CD_ELEMENT_D#29">
    <vt:lpwstr>HACCP 5.3.5.1 a) Preliminary Steps to Enable Hazard Analysis -</vt:lpwstr>
  </property>
  <property fmtid="{D5CDD505-2E9C-101B-9397-08002B2CF9AE}" pid="81" name="ETQ_CHECKLIST_QUESTIONS.ETQ_CHECKLIST_QUESTION_COMMENTS#42">
    <vt:lpwstr>      </vt:lpwstr>
  </property>
  <property fmtid="{D5CDD505-2E9C-101B-9397-08002B2CF9AE}" pid="82" name="ETQ_CHECKLIST_QUESTIONS.ETQ_CHECKLIST_QUESTION_COMMENTS#37">
    <vt:lpwstr>      </vt:lpwstr>
  </property>
  <property fmtid="{D5CDD505-2E9C-101B-9397-08002B2CF9AE}" pid="83" name="ETQ_CHECKLIST_QUESTIONS.ETQ_CHECKLIST_QUESTION_PREVIOUS_COMMENTS#52">
    <vt:lpwstr>      </vt:lpwstr>
  </property>
  <property fmtid="{D5CDD505-2E9C-101B-9397-08002B2CF9AE}" pid="84" name="ETQ_CHECKLIST_QUESTIONS.ETQ_CHECKLIST_QUESTION_COMMENTS#17">
    <vt:lpwstr>      </vt:lpwstr>
  </property>
  <property fmtid="{D5CDD505-2E9C-101B-9397-08002B2CF9AE}" pid="85" name="ETQ_CHECKLIST_DOCUMENT.AM_CD_ELEMENT_D#51">
    <vt:lpwstr>GMP 11.1 Rework - General Requirements</vt:lpwstr>
  </property>
  <property fmtid="{D5CDD505-2E9C-101B-9397-08002B2CF9AE}" pid="86" name="ETQ_CHECKLIST_DOCUMENT.AM_CD_ELEMENT_D#53">
    <vt:lpwstr>MQM 3.2.1. Acceptable Laboratory Data Facility, Housekeeping and Hygiene</vt:lpwstr>
  </property>
  <property fmtid="{D5CDD505-2E9C-101B-9397-08002B2CF9AE}" pid="87" name="ETQ_CHECKLIST_DOCUMENT.ETQ_AUDITS_CHECKLIST_NAME#23">
    <vt:lpwstr>Traceability  (DO)</vt:lpwstr>
  </property>
  <property fmtid="{D5CDD505-2E9C-101B-9397-08002B2CF9AE}" pid="88" name="ETQ_CHECKLIST_QUESTIONS.ETQ_CHECKLIST_QUESTION_CLASSIFICATION#21">
    <vt:lpwstr>      </vt:lpwstr>
  </property>
  <property fmtid="{D5CDD505-2E9C-101B-9397-08002B2CF9AE}" pid="89" name="ETQ_CHECKLIST_DOCUMENT.AM_CD_ELEMENT_D#11">
    <vt:lpwstr>QMP v3 9.4.5 Documented Information</vt:lpwstr>
  </property>
  <property fmtid="{D5CDD505-2E9C-101B-9397-08002B2CF9AE}" pid="90" name="ETQ_CHECKLIST_QUESTIONS.ETQ_CHECKLIST_QUESTION_COMMENTS#28">
    <vt:lpwstr>      </vt:lpwstr>
  </property>
  <property fmtid="{D5CDD505-2E9C-101B-9397-08002B2CF9AE}" pid="91" name="ETQ_CHECKLIST_QUESTIONS.ETQ_CHECKLIST_QUESTION_QUESTION#56">
    <vt:lpwstr>Laboratory personnel are suitably qualified, trained and competent to perform their duties, according to a documented training process._x000d_
Responsibilities and authorities are defined, communicated and understood.</vt:lpwstr>
  </property>
  <property fmtid="{D5CDD505-2E9C-101B-9397-08002B2CF9AE}" pid="92" name="ETQ_CHECKLIST_QUESTIONS.ETQ_CHECKLIST_QUESTION_PREVIOUS_COMMENTS#58">
    <vt:lpwstr>      </vt:lpwstr>
  </property>
  <property fmtid="{D5CDD505-2E9C-101B-9397-08002B2CF9AE}" pid="93" name="ETQ_CHECKLIST_QUESTIONS.ETQ_CHECKLIST_QUESTION_HINT#8">
    <vt:lpwstr>The necessary/appropriate facilities &amp; working environment is in place that is designed, managed &amp; maintained to ensure material / product Q&amp;FS conformity._x000d_
_x000d_
While the type of infrastructure will vary according to the specific activities and materials / products / services, e.g. open spaces, buildings, manufacturing equipment, utilities, services (IT), communication modes, vehicle fleet, etc., it will be appropriate for the application and maintained in good working order._x000d_
_x000d_
Evidence:-_x000d_
* The production process is laid out with a logical, quality intent in mind._x000d_
* The production equipment is sized correctly for the operation and is in good working order._x000d_
* The working environment climate is suitable for the work performed._x000d_
* Laboratories infrastructure, layout and (micro, sensory, analytical) equipment is suitable and maintained in good order. _x000d_
* Production testing equipment is appropriate and well maintained._x000d_
* IT systems have controls for access and back-up.</vt:lpwstr>
  </property>
  <property fmtid="{D5CDD505-2E9C-101B-9397-08002B2CF9AE}" pid="94" name="ETQ_CHECKLIST_QUESTIONS.ETQ_CHECKLIST_QUESTION_COMMENTS#59">
    <vt:lpwstr>      </vt:lpwstr>
  </property>
  <property fmtid="{D5CDD505-2E9C-101B-9397-08002B2CF9AE}" pid="95" name="ETQ_CHECKLIST_QUESTIONS.ETQ_CHECKLIST_QUESTION_QUESTION#10">
    <vt:lpwstr>COMMUNICATIONS_x000d_
_x000d_
Management ensures that appropriate Q&amp;FS practices are maintained through interactions and communications across the supply chain.</vt:lpwstr>
  </property>
  <property fmtid="{D5CDD505-2E9C-101B-9397-08002B2CF9AE}" pid="96" name="ETQ_CHECKLIST_QUESTIONS.ETQ_CHECKLIST_QUESTION_HINT#62">
    <vt:lpwstr>The supplier must gather the  necessary information to demonstrate the suitability of their laboratory provider. Where the 3rd party laboratory is accredited for the test/material combination being conducted, then only a current accreditation document is required to confirm this.  Documented justification must be available where there is no accreditation  or if the accreditation scope does not include the test/material combination requested (audit reports from the 3rd party laboratory, documentation about methods used, proficiency test results, etc.). For sub-contracted tests, a number of the Supplier lab processes will still be conducted at the site eg sample preparation, storage and results/data transfer and should be audited by SQA.</vt:lpwstr>
  </property>
  <property fmtid="{D5CDD505-2E9C-101B-9397-08002B2CF9AE}" pid="97" name="ETQ_CHECKLIST_QUESTIONS.ETQ_CHECKLIST_QUESTION_COMMENTS#8">
    <vt:lpwstr>      </vt:lpwstr>
  </property>
  <property fmtid="{D5CDD505-2E9C-101B-9397-08002B2CF9AE}" pid="98" name="ETQ_CHECKLIST_QUESTIONS.ETQ_CHECKLIST_QUESTION_PREVIOUS_COMMENTS#41">
    <vt:lpwstr>      </vt:lpwstr>
  </property>
  <property fmtid="{D5CDD505-2E9C-101B-9397-08002B2CF9AE}" pid="99" name="ETQ_CHECKLIST_QUESTIONS.ETQ_CHECKLIST_QUESTION_COMMENTS#22">
    <vt:lpwstr>      </vt:lpwstr>
  </property>
  <property fmtid="{D5CDD505-2E9C-101B-9397-08002B2CF9AE}" pid="100" name="ETQ_CHECKLIST_QUESTIONS.ETQ_CHECKLIST_QUESTION_QUESTION#31">
    <vt:lpwstr>Hazard Significance_x000d_
_x000d_
A hazard assessment confirms the hazards that can be present and assesses the significance of each hazard.</vt:lpwstr>
  </property>
  <property fmtid="{D5CDD505-2E9C-101B-9397-08002B2CF9AE}" pid="101" name="ETQ_CHECKLIST_DOCUMENT.AM_CD_ELEMENT_D#61">
    <vt:lpwstr>MQM 3. Step 3.2.1. Acceptable Laboratory Data - Reporting the results</vt:lpwstr>
  </property>
  <property fmtid="{D5CDD505-2E9C-101B-9397-08002B2CF9AE}" pid="102" name="ETQ_CHECKLIST_DOCUMENT.AM_CD_ELEMENT_D#2">
    <vt:lpwstr>QMPv3 9.2.3 Organizational Roles, Responsibilities and Authorities</vt:lpwstr>
  </property>
  <property fmtid="{D5CDD505-2E9C-101B-9397-08002B2CF9AE}" pid="103" name="ETQ_CHECKLIST_QUESTIONS.ETQ_CHECKLIST_QUESTION_HINT#43">
    <vt:lpwstr>During factory visit observe equipment and check suitability (material, state of repair, cleanliness, location)._x000d_
_x000d_
1. Hygienic design: equipment shall be able to meet established principles of hygienic design, including:_x000d_
_x000d_
a) smooth, accessible, cleanable surfaces, self draining in wet process areas;_x000d_
_x000d_
b) use of materials compatible with intended products and cleaning or flushing agents_x000d_
_x000d_
c) framework not penetrated by holes or nuts and bolts. Piping and ductwork shall be cleanable, drainable, and with no dead ends. _x000d_
_x000d_
2. Product contact surfaces: product contact surfaces shall be constructed from materials designed for food use. They shall be impermeable and rust or corrosion free._x000d_
_x000d_
3. Temperature control and monitoring equipment: equipment used for thermal processes shall be able to meet the temperature gradient and holding conditions given in relevant product specifications. Equipment shall provide for the monitoring and control of the temperature._x000d_
_x000d_
4. Preventive and corrective maintenance: a preventive maintenance programme shall be in place. The preventive maintenance programme shall include all devices used to monitor and/or control food safety hazards. Examples of such devices include screens and filters (including air filters), magnets, metal detectors and X-ray detectors. Corrective maintenance shall be carried out in such a way that production on adjoining lines or equipment is not at risk of contamination._x000d_
_x000d_
_x000d_
Evidence: _x000d_
During the  visit_x000d_
*Check product contact surfaces are in good condition, with sanitary design and welding and materials designed for food usage_x000d_
* Check equipment is in good condition_x000d_
* Check nuts, bolts are cleanable and does not represent a niche for food or ingredients  _x000d_
* Request PM program e.g. this would include daily, weekly, monthly, annual PM's depending on the type of equipment. _x000d_
* Check that frequency defined in the PM program is followed meaning that PM is done as defined_x000d_
* Request records for Maintenance for critical equipment for the process you are auditing e.g. rosters, dryers, pasteurizer, compressed air_x000d_
* Check instructions to be followed by maintenance personnel</vt:lpwstr>
  </property>
  <property fmtid="{D5CDD505-2E9C-101B-9397-08002B2CF9AE}" pid="104" name="ETQ_CHECKLIST_QUESTIONS.ETQ_CHECKLIST_QUESTION_COMMENTS#51">
    <vt:lpwstr>      </vt:lpwstr>
  </property>
  <property fmtid="{D5CDD505-2E9C-101B-9397-08002B2CF9AE}" pid="105" name="ETQ_CHECKLIST_QUESTIONS.ETQ_CHECKLIST_QUESTION_QUESTION#32">
    <vt:lpwstr>Has a control been defined?_x000d_
_x000d_
Control measures are implemented to eliminate  food safety hazards  in the finished product.</vt:lpwstr>
  </property>
  <property fmtid="{D5CDD505-2E9C-101B-9397-08002B2CF9AE}" pid="106" name="ETQ_CHECKLIST_QUESTIONS.ETQ_CHECKLIST_QUESTION_QUESTION#42">
    <vt:lpwstr>Waste management_x000d_
_x000d_
Waste materials are clearly identified, removed and disposed in a manor that prevents re-contamination of product or production areas.</vt:lpwstr>
  </property>
  <property fmtid="{D5CDD505-2E9C-101B-9397-08002B2CF9AE}" pid="107" name="ETQ_CHECKLIST_QUESTIONS.ETQ_CHECKLIST_QUESTION_QUESTION#15">
    <vt:lpwstr>Process verification: The process is verified to confirm that the process achieves the specified product design features.</vt:lpwstr>
  </property>
  <property fmtid="{D5CDD505-2E9C-101B-9397-08002B2CF9AE}" pid="108" name="ETQ_CHECKLIST_QUESTIONS.ETQ_CHECKLIST_QUESTION_HINT#49">
    <vt:lpwstr>Hand wash/toilets &amp; changing facilities_x000d_
Evidence:_x000d_
*Check manufacturing areas are adequately equipped with hand-washing &amp; drying facilities on entry to the production area._x000d_
*Ensure toilets do not open directly on to production, packing or storage areas. _x000d_
*Ensure changing facilities are prior to entry into production, packing or storage areas._x000d_
Personal cleanliness:_x000d_
Evidence_x000d_
*Check that food production personnel wash hands before starting work, immediately after using toilets or blowing the nose, immediately after handling potential contaminated product._x000d_
To what level are people committed and acting in_x000d_
accordance with food safety expectations_x000d_
Ensure  personnel refrain from coughing, sneezing or spitting over materials, in general following all hygiene practices_x000d_
Catering:_x000d_
Evidence:_x000d_
*Check that catering facilities &amp; designated areas for food storage and consumption (including employees own food) are isolated from production areas._x000d_
Work Wear:_x000d_
Work clothing must be fit for purpose, clean and in good condition. _x000d_
Work wear should not have buttons, outside pockets above waist level &amp; provide adequate coverage to ensure that hair, perspiration, etc. cannot contaminate the product._x000d_
Work Shoes must be fully enclosed._x000d_
Evidence_x000d_
*Check that work wear is laundered at intervals suitable for the intended use,  _x000d_
*Hair, beards, and moustaches should be fully protected by restraints unless hazard analysis indicates otherwise._x000d_
*Check that gloves used for product contact shall be clean and in good condition, and latex gloves should be avoided where possible._x000d_
Health status: _x000d_
When legally required, employees shall undergo a medical examination prior to employment in food contact operations (including site catering), unless documented hazard or medical assessment indicates otherwise. _x000d_
Illness and injuries: _x000d_
Do procedures exist (where permitted by law) that employees are required to report the following conditions to management for possible exclusion from food-handling areas: jaundice, diarrhea, vomiting, fever, sore throat with fever, visibly infected skin lesions and discharges from the ear, eye or nose. _x000d_
People known or suspected to be infected with, or carrying, a disease or illness transmissible through food shall be prevented from handling food or materials which come into contact with food. _x000d_
In food-handling areas, personnel with wounds or burns shall be required to cover them with specified dressings. Any lost dressing shall be reported to supervision immediately. _x000d_
Evidence_x000d_
*Check to see is dressing are brightly coloured and metal detectable where appropriate.</vt:lpwstr>
  </property>
  <property fmtid="{D5CDD505-2E9C-101B-9397-08002B2CF9AE}" pid="109" name="ETQ_CHECKLIST_QUESTIONS.ETQ_CHECKLIST_QUESTION_PREVIOUS_COMMENTS#62">
    <vt:lpwstr>      </vt:lpwstr>
  </property>
  <property fmtid="{D5CDD505-2E9C-101B-9397-08002B2CF9AE}" pid="110" name="ETQ_CHECKLIST_QUESTIONS.ETQ_CHECKLIST_QUESTION_CLASSIFICATION#29">
    <vt:lpwstr>      </vt:lpwstr>
  </property>
  <property fmtid="{D5CDD505-2E9C-101B-9397-08002B2CF9AE}" pid="111" name="ETQ_CHECKLIST_QUESTIONS.ETQ_CHECKLIST_QUESTION_PREVIOUS_COMMENTS#59">
    <vt:lpwstr>      </vt:lpwstr>
  </property>
  <property fmtid="{D5CDD505-2E9C-101B-9397-08002B2CF9AE}" pid="112" name="ETQ_CHECKLIST_DOCUMENT.AM_CD_ELEMENT_D#12">
    <vt:lpwstr>QMPv3 9.5.2.4 Consumer, Client and Customer Communication</vt:lpwstr>
  </property>
  <property fmtid="{D5CDD505-2E9C-101B-9397-08002B2CF9AE}" pid="113" name="ETQ_CHECKLIST_QUESTIONS.ETQ_CHECKLIST_QUESTION_HINT#33">
    <vt:lpwstr>The supplier must determine the control measures not categorized as Critical Control Points, but that are still necessary to control significant food safety hazards (Mars QMP it is called Operational PRPs (OPRP) or control points (CP)  e.g. product changeover cleaning, allergen changeover procedure, taking a sample off line to measure seal strength, a series of screens, sieves, magnets to remove metal contamination)._x000d_
_x000d_
There should be evidence of OPRP and/or CP validation _x000d_
_x000d_
These OPRP's and/or CP's must be in place when food safety control measures do not have measurable limits or provide results in real time, or when the supplier needs a combination of control measures to eliminate or reduce a hazard to an acceptable limit.  _x000d_
_x000d_
The supplier must have a monitoring system in place (conducted by defined personnel)  to ensure that these controls measures are working and that records are maintained._x000d_
_x000d_
In the event of deviation the supplier must have a corrective action  process in place._x000d_
_x000d_
Evidence_x000d_
*Check how many OPRP's and/or CP's suppliers has defined, and the responsible to monitor those_x000d_
*Check that validation for each OPRP and  CP are available_x000d_
*Check that records for all OPRP's and CP's are documented_x000d_
*Check that corrective actions are implemented when a deviation of any OPRP or CP are properly documented and implemented "_x000d_
action  process in place.</vt:lpwstr>
  </property>
  <property fmtid="{D5CDD505-2E9C-101B-9397-08002B2CF9AE}" pid="114" name="ETQ_CHECKLIST_QUESTIONS.ETQ_CHECKLIST_QUESTION_QUESTION#29">
    <vt:lpwstr>HACCP (Food Safety Plan) team_x000d_
_x000d_
The hazard analysis is carried out by a competent team and is informed by the process flow of the material /product, facilities layout, production flow steps and control measures that impact food safety.</vt:lpwstr>
  </property>
  <property fmtid="{D5CDD505-2E9C-101B-9397-08002B2CF9AE}" pid="115" name="ETQ_CHECKLIST_QUESTIONS.ETQ_CHECKLIST_QUESTION_PREVIOUS_COMMENTS#16">
    <vt:lpwstr>      </vt:lpwstr>
  </property>
  <property fmtid="{D5CDD505-2E9C-101B-9397-08002B2CF9AE}" pid="116" name="ETQ_CHECKLIST_QUESTIONS.ETQ_CHECKLIST_QUESTION_COMMENTS#13">
    <vt:lpwstr>      </vt:lpwstr>
  </property>
  <property fmtid="{D5CDD505-2E9C-101B-9397-08002B2CF9AE}" pid="117" name="ETQ_CHECKLIST_QUESTIONS.ETQ_CHECKLIST_QUESTION_CLASSIFICATION#19">
    <vt:lpwstr>      </vt:lpwstr>
  </property>
  <property fmtid="{D5CDD505-2E9C-101B-9397-08002B2CF9AE}" pid="118" name="ETQ_CHECKLIST_QUESTIONS.ETQ_CHECKLIST_QUESTION_HINT#25">
    <vt:lpwstr>Where there is a requirement to achieve identity preservation within the supply chain, e.g. make a claim to a product characteristic or attribute (e.g. kosher, Halal, GMO free ,gluten free) appropriate control and testing procedures must be in place._x000d_
_x000d_
Audit this requirement only if special requirements for traceability and identity preservation exist._x000d_
_x000d_
Make sure that you properly identify and verify the specific requirements that the supplier must be compliant to.(e.g. non hydrogenated) This may also include areas where Mars define specific process type inclusion or exclusions (i.e.. exclusion of radiation treatment)._x000d_
_x000d_
Evidence:_x000d_
When applicable request_x000d_
* Kosher, Halal, Organic certifications _x000d_
* Evidence for GMO free_x000d_
* Records test results for Gluten free_x000d_
_x000d_
.</vt:lpwstr>
  </property>
  <property fmtid="{D5CDD505-2E9C-101B-9397-08002B2CF9AE}" pid="119" name="ETQ_CHECKLIST_QUESTIONS.ETQ_CHECKLIST_QUESTION_HINT#57">
    <vt:lpwstr>Using a selected CoA, check that the equipment used was calibrated/verified at the time of the analysis. This may include balances, thermometers, dispensing pipettes, volumetric glassware, spectrophotometers, standard solutions etc. Calibration is conducted internally using traceable weights, thermocouples, standards etc. or contracted externally to an ISO 17025 accredited calibration lab (request calibration reports). Calibration and verification is up to date versus the schedule.</vt:lpwstr>
  </property>
  <property fmtid="{D5CDD505-2E9C-101B-9397-08002B2CF9AE}" pid="120" name="ETQ_CHECKLIST_QUESTIONS.ETQ_CHECKLIST_QUESTION_COMMENTS#44">
    <vt:lpwstr>      </vt:lpwstr>
  </property>
  <property fmtid="{D5CDD505-2E9C-101B-9397-08002B2CF9AE}" pid="121" name="ETQ_CHECKLIST_QUESTIONS.ETQ_CHECKLIST_QUESTION_PREVIOUS_COMMENTS#56">
    <vt:lpwstr>      </vt:lpwstr>
  </property>
  <property fmtid="{D5CDD505-2E9C-101B-9397-08002B2CF9AE}" pid="122" name="ETQ_CHECKLIST_QUESTIONS.ETQ_CHECKLIST_QUESTION_QUESTION#41">
    <vt:lpwstr>Utilities are appropriate for the food industry, designed to minimise the risk of product contamination and are monitored.</vt:lpwstr>
  </property>
  <property fmtid="{D5CDD505-2E9C-101B-9397-08002B2CF9AE}" pid="123" name="ETQ_CHECKLIST_QUESTIONS.ETQ_CHECKLIST_QUESTION_HINT#19">
    <vt:lpwstr>Any changes to the quality system or operations that are likely to impact product or service quality must have an assessment of risk and the appropriate controls implemented to ensure that there is no adverse impact on conformity to requirements. _x000d_
This includes changes in the traceability system and its capability to affect Mars’ own traceability arrangements and legal responsibilities._x000d_
A communication process is in place to ensure timely cascade of issues and changes that impact Q&amp;FS.  _x000d_
Dedicated  individuals must be responsible for any determination of downstream customer impacts, approval and communication for changes affecting finished goods and services._x000d_
Changes must take  into account the purpose and potential effect of any change, resources needed and responsibilities. _x000d_
Changes must be documented and relevant employees and contractors informed and trained as appropriate. The  quality of its products and services must be maintained._x000d_
A trigger must be in place to review HACCP plan if impacted.  The risk assessment should consider the food safety risk for each new project/process/ingredient/information/etc. and this should link back to the site food safety plan /programmes (e.g. HACCP)._x000d_
A technical risk assessment should be formally documented and managed with an action plan and review._x000d_
If trials are needed internally, these should be fully documented with reasons for the trial, quality checks required and approvals at each stage of the process, including customer sign off if necessary. _x000d_
The need for new quality checks or other control measures should be considered for any changes._x000d_
_x000d_
Evidence:- _x000d_
* Risk Assessments for changes to process, procedure, ingredients, suppliers, personnel, etc., that could impact product performance._x000d_
* HACCP team (Food Safety Plan) meeting minutes._x000d_
* HACCP team (Food Safety Plan) sign-off (Change management documentation)_x000d_
* Trial procedure and trial documentation._x000d_
* Commissioning reports._x000d_
* Change Management procedure includes: risk assessment process, procedure, ingredients, suppliers, personnel_x000d_
* Records for the completed actions defined to implement the changes (e.g. training, new equipment testing, changes in procedures)_x000d_
* Confirm that changes that impact traceability are assessed.</vt:lpwstr>
  </property>
  <property fmtid="{D5CDD505-2E9C-101B-9397-08002B2CF9AE}" pid="124" name="ETQ_CHECKLIST_QUESTIONS.ETQ_CHECKLIST_QUESTION_QUESTION#7">
    <vt:lpwstr>Skilled Q&amp;FS resources_x000d_
_x000d_
Management provides sufficient and competent human resources to ensure that the Q&amp;FS management system is developed, operated and continuously improved..</vt:lpwstr>
  </property>
  <property fmtid="{D5CDD505-2E9C-101B-9397-08002B2CF9AE}" pid="125" name="ETQ_CHECKLIST_DOCUMENT.AM_CD_ELEMENT_D#37">
    <vt:lpwstr>HACCP 6.2 Validation, Verification and Improvement - Validation of Control Measure Combinations</vt:lpwstr>
  </property>
  <property fmtid="{D5CDD505-2E9C-101B-9397-08002B2CF9AE}" pid="126" name="ETQ_CHECKLIST_QUESTIONS.ETQ_CHECKLIST_QUESTION_COMMENTS#65">
    <vt:lpwstr>      </vt:lpwstr>
  </property>
  <property fmtid="{D5CDD505-2E9C-101B-9397-08002B2CF9AE}" pid="127" name="ETQ_CHECKLIST_DOCUMENT.AM_CD_ELEMENT_D#46">
    <vt:lpwstr>GMP 07.4 Measures for Prevention of Cross Contamination - Physical Contamination</vt:lpwstr>
  </property>
  <property fmtid="{D5CDD505-2E9C-101B-9397-08002B2CF9AE}" pid="128" name="ETQ_CHECKLIST_DOCUMENT.ETQ_AUDITS_CHECKLIST_NAME#12">
    <vt:lpwstr>DO(QMP)</vt:lpwstr>
  </property>
  <property fmtid="{D5CDD505-2E9C-101B-9397-08002B2CF9AE}" pid="129" name="ETQ_CHECKLIST_DOCUMENT.AM_CD_ELEMENT_D#36">
    <vt:lpwstr>HACCP 5.8 Verification Planning</vt:lpwstr>
  </property>
  <property fmtid="{D5CDD505-2E9C-101B-9397-08002B2CF9AE}" pid="130" name="ETQ_CHECKLIST_QUESTIONS.ETQ_CHECKLIST_QUESTION_CLASSIFICATION#24">
    <vt:lpwstr>      </vt:lpwstr>
  </property>
  <property fmtid="{D5CDD505-2E9C-101B-9397-08002B2CF9AE}" pid="131" name="ETQ_CHECKLIST_QUESTIONS.ETQ_CHECKLIST_QUESTION_COMMENTS#53">
    <vt:lpwstr>      </vt:lpwstr>
  </property>
  <property fmtid="{D5CDD505-2E9C-101B-9397-08002B2CF9AE}" pid="132" name="ETQ_CHECKLIST_QUESTIONS.ETQ_CHECKLIST_QUESTION_PREVIOUS_COMMENTS#33">
    <vt:lpwstr>      </vt:lpwstr>
  </property>
  <property fmtid="{D5CDD505-2E9C-101B-9397-08002B2CF9AE}" pid="133" name="ETQ_CHECKLIST_QUESTIONS.ETQ_CHECKLIST_QUESTION_PREVIOUS_COMMENTS#26">
    <vt:lpwstr>      </vt:lpwstr>
  </property>
  <property fmtid="{D5CDD505-2E9C-101B-9397-08002B2CF9AE}" pid="134" name="ETQ_CHECKLIST_QUESTIONS.ETQ_CHECKLIST_QUESTION_CLASSIFICATION#2">
    <vt:lpwstr>      </vt:lpwstr>
  </property>
  <property fmtid="{D5CDD505-2E9C-101B-9397-08002B2CF9AE}" pid="135" name="ETQ_CHECKLIST_QUESTIONS.ETQ_CHECKLIST_QUESTION_PREVIOUS_COMMENTS#23">
    <vt:lpwstr>      </vt:lpwstr>
  </property>
  <property fmtid="{D5CDD505-2E9C-101B-9397-08002B2CF9AE}" pid="136" name="ETQ_CHECKLIST_QUESTIONS.ETQ_CHECKLIST_QUESTION_HINT#46">
    <vt:lpwstr>A programme to minimise the risk of foreign bodies must be in place. This needs to include foreign bodies that are natural to the process  and foreign bodies from external contamination._x000d_
_x000d_
Physical contamination: measures to prevent contamination from sources such as wooden pallets, tools, rubber seals, personal protective clothing and equipment must be in place, and may include: _x000d_
a) adequate covers over equipment or containers for exposed materials or product._x000d_
b) use of screens, magnets, sieves or filters._x000d_
c) use of detection or rejection devices such as metal detector and x-ray. Brittle materials, such as glass and hard plastic should be avoided where possible, but where they are used, periodic inspection and procedures in case of breakage must be in place. Glass breakage records must be maintained._x000d_
d) blade/knife policy should be in place._x000d_
_x000d_
Evidence:_x000d_
*Check procedures available for the control of foreign materials e.g. wood policy,  glass and brittle plastic policy, glove policy, blade and knife control policy, metal detection systems (screens, magnets, sieves, filters, x-rays, metal detectors)_x000d_
*Check records for training in the applicable programs_x000d_
*Check records for applicable inspections e.g. brittle plastic, sieve, magnets_x000d_
* During factory visit check clothing conditions, gloves management, plastic controls, hard plastic conditions, glass conditions, wood and plastic pallets conditions, overhead piping - to see if any Foreign material  risk is observed</vt:lpwstr>
  </property>
  <property fmtid="{D5CDD505-2E9C-101B-9397-08002B2CF9AE}" pid="137" name="ETQ_CHECKLIST_DOCUMENT.AM_CD_ELEMENT_D#32">
    <vt:lpwstr>HACCP 5.4.4 Hazard Analysis - Selection and Assessment of Control Measures</vt:lpwstr>
  </property>
  <property fmtid="{D5CDD505-2E9C-101B-9397-08002B2CF9AE}" pid="138" name="ETQ_CHECKLIST_DOCUMENT.AM_CD_ELEMENT_D#30">
    <vt:lpwstr>HACCP 5.4.2 Hazard Analysis - Hazard Identification and Determination of Acceptable Levels</vt:lpwstr>
  </property>
  <property fmtid="{D5CDD505-2E9C-101B-9397-08002B2CF9AE}" pid="139" name="ETQ_CHECKLIST_QUESTIONS.ETQ_CHECKLIST_QUESTION_CLASSIFICATION#60">
    <vt:lpwstr>      </vt:lpwstr>
  </property>
  <property fmtid="{D5CDD505-2E9C-101B-9397-08002B2CF9AE}" pid="140" name="ETQ_CHECKLIST_QUESTIONS.ETQ_CHECKLIST_QUESTION_PREVIOUS_COMMENTS#21">
    <vt:lpwstr>      </vt:lpwstr>
  </property>
  <property fmtid="{D5CDD505-2E9C-101B-9397-08002B2CF9AE}" pid="141" name="ETQ_CHECKLIST_QUESTIONS.ETQ_CHECKLIST_QUESTION_QUESTION#21">
    <vt:lpwstr>"Control of Non-conforming material _x000d_
Ensure that non conforming material  is controlled to prevent its unintended use or delivery."</vt:lpwstr>
  </property>
  <property fmtid="{D5CDD505-2E9C-101B-9397-08002B2CF9AE}" pid="142" name="ETQ_CHECKLIST_QUESTIONS.ETQ_CHECKLIST_QUESTION_CLASSIFICATION#10">
    <vt:lpwstr>      </vt:lpwstr>
  </property>
  <property fmtid="{D5CDD505-2E9C-101B-9397-08002B2CF9AE}" pid="143" name="ETQ_CHECKLIST_QUESTIONS.ETQ_CHECKLIST_QUESTION_PREVIOUS_COMMENTS#14">
    <vt:lpwstr>      </vt:lpwstr>
  </property>
  <property fmtid="{D5CDD505-2E9C-101B-9397-08002B2CF9AE}" pid="144" name="ETQ_CHECKLIST_QUESTIONS.ETQ_CHECKLIST_QUESTION_COMMENTS#61">
    <vt:lpwstr>      </vt:lpwstr>
  </property>
  <property fmtid="{D5CDD505-2E9C-101B-9397-08002B2CF9AE}" pid="145" name="ETQ_CHECKLIST_QUESTIONS.ETQ_CHECKLIST_QUESTION_HINT#21">
    <vt:lpwstr>Non-conforming material /product / services includes raw material, food-contact material including packaging, in-process product, rework and end product._x000d_
_x000d_
Supplier must ensure all products  that do not conform to requirements  or delivered under conditions that do not conform to requirements are identified and controlled to prevent unintended use or delivery. This includes clear  identification and where necessary segregation, hold or suspension. Check that segregation is actively practiced_x000d_
_x000d_
Supplier must define and document a process including specific accountabilities and responsibilities for dealing with  non conforming products  this includes products  discovered to be non conforming after or during delivery ._x000d_
_x000d_
Documented process for dispositioning of non-conforming material (e.g. corrections, destruction) and records of these activities must be maintained._x000d_
_x000d_
If the supplier authorizes the use, release or acceptance of a non-conforming material /product to Mars, this must be done under concession by a relevant authority at the  supplier and agreed with Mars._x000d_
_x000d_
Evidence include _x000d_
*Check that procedure to manage NC product is documented and meet requirements listed above_x000d_
*Check that NC are track _x000d_
*Check that disposition are properly documented_x000d_
During factory tour_x000d_
*Check NC product identification and segregation</vt:lpwstr>
  </property>
  <property fmtid="{D5CDD505-2E9C-101B-9397-08002B2CF9AE}" pid="146" name="ETQ_CHECKLIST_QUESTIONS.ETQ_CHECKLIST_QUESTION_COMMENTS#48">
    <vt:lpwstr>      </vt:lpwstr>
  </property>
  <property fmtid="{D5CDD505-2E9C-101B-9397-08002B2CF9AE}" pid="147" name="ETQ_CHECKLIST_DOCUMENT.AM_CD_ELEMENT_D#38">
    <vt:lpwstr>HACCP 6.5.2 Updating the Food Safety Management Programme</vt:lpwstr>
  </property>
  <property fmtid="{D5CDD505-2E9C-101B-9397-08002B2CF9AE}" pid="148" name="ETQ_CHECKLIST_QUESTIONS.ETQ_CHECKLIST_QUESTION_HINT#54">
    <vt:lpwstr>SOPs, including Test Methods are version controlled and only the latest version is available to lab personnel. _x000d_
Where Test Methods from official bodies are used (eg AOAC, FDA, ISO) ensure there is a process to keep up to date with the latest edition. The origin of the Test Method will conform with that stated by Mars.  Amendments that have been made to the method are validated and documented._x000d_
The scope of the analysis method includes the material being tested.</vt:lpwstr>
  </property>
  <property fmtid="{D5CDD505-2E9C-101B-9397-08002B2CF9AE}" pid="149" name="ETQ_CHECKLIST_QUESTIONS.ETQ_CHECKLIST_QUESTION_QUESTION#47">
    <vt:lpwstr>Cleaning and sanitising_x000d_
_x000d_
Equipment and the production environment are maintained in a hygienic condition with cleaning, sanitising &amp; monitoring programmes in place to ensure their effectiveness.</vt:lpwstr>
  </property>
  <property fmtid="{D5CDD505-2E9C-101B-9397-08002B2CF9AE}" pid="150" name="ETQ_CHECKLIST_DOCUMENT.AM_CD_ELEMENT_D#3">
    <vt:lpwstr>QMPv3 9.3.1 Addressing Risks and Opportunities</vt:lpwstr>
  </property>
  <property fmtid="{D5CDD505-2E9C-101B-9397-08002B2CF9AE}" pid="151" name="ETQ_CHECKLIST_QUESTIONS.ETQ_CHECKLIST_QUESTION_PREVIOUS_COMMENTS#66">
    <vt:lpwstr>      </vt:lpwstr>
  </property>
  <property fmtid="{D5CDD505-2E9C-101B-9397-08002B2CF9AE}" pid="152" name="ETQ_CHECKLIST_QUESTIONS.ETQ_CHECKLIST_QUESTION_QUESTION#53">
    <vt:lpwstr>Supplier's laboratory is of suitable size and capacity  to perform the Mars tests. 
The laboratory has the appropriate equipment, in serviceable condition, to perform the required tests.
The laboratory ensures a clean, tidy and hygienic environment.</vt:lpwstr>
  </property>
  <property fmtid="{D5CDD505-2E9C-101B-9397-08002B2CF9AE}" pid="153" name="ETQ_CHECKLIST_QUESTIONS.ETQ_CHECKLIST_QUESTION_QUESTION#26">
    <vt:lpwstr>PRP's Program_x000d_
_x000d_
A food safety program is in place with pre-requisite programs that are appropriate to the nature size and type  of the operation to maintain food hygiene</vt:lpwstr>
  </property>
  <property fmtid="{D5CDD505-2E9C-101B-9397-08002B2CF9AE}" pid="154" name="ETQ_CHECKLIST_QUESTIONS.ETQ_CHECKLIST_QUESTION_QUESTION#51">
    <vt:lpwstr>Rework _x000d_
_x000d_
Rework traceability must be maintained and its storage, handling and use managed in a way that maintains product Q&amp;FS.</vt:lpwstr>
  </property>
  <property fmtid="{D5CDD505-2E9C-101B-9397-08002B2CF9AE}" pid="155" name="ETQ_CHECKLIST_DOCUMENT.AM_CD_ELEMENT_D#55">
    <vt:lpwstr>MQM 3.2.1. Acceptable Laboratory Data - Handling of Test Items</vt:lpwstr>
  </property>
  <property fmtid="{D5CDD505-2E9C-101B-9397-08002B2CF9AE}" pid="156" name="ETQ_CHECKLIST_QUESTIONS.ETQ_CHECKLIST_QUESTION_QUESTION#24">
    <vt:lpwstr>Production lot identification_x000d_
Each lot of produced material /product must have an identification number (applied consistently to all discrete units within the lot) that enables traceability.</vt:lpwstr>
  </property>
  <property fmtid="{D5CDD505-2E9C-101B-9397-08002B2CF9AE}" pid="157" name="ETQ_CHECKLIST_DOCUMENT.AM_CD_ELEMENT_D#66">
    <vt:lpwstr>QMPv3 9.7.1 Continuous Improvement</vt:lpwstr>
  </property>
  <property fmtid="{D5CDD505-2E9C-101B-9397-08002B2CF9AE}" pid="158" name="ETQ_CHECKLIST_QUESTIONS.ETQ_CHECKLIST_QUESTION_COMMENTS#14">
    <vt:lpwstr>      </vt:lpwstr>
  </property>
  <property fmtid="{D5CDD505-2E9C-101B-9397-08002B2CF9AE}" pid="159" name="ETQ_CHECKLIST_QUESTIONS.ETQ_CHECKLIST_QUESTION_QUESTION#12">
    <vt:lpwstr>Managing  customer  feedback _x000d_
There is an effective program to manage customer feedback including  complaints</vt:lpwstr>
  </property>
  <property fmtid="{D5CDD505-2E9C-101B-9397-08002B2CF9AE}" pid="160" name="ETQ_CHECKLIST_QUESTIONS.ETQ_CHECKLIST_QUESTION_QUESTION#36">
    <vt:lpwstr>Verification of the FSMP program_x000d_
_x000d_
Planned activities are in place to confirm that the food safety management programme is effective.</vt:lpwstr>
  </property>
  <property fmtid="{D5CDD505-2E9C-101B-9397-08002B2CF9AE}" pid="161" name="ETQ_CHECKLIST_QUESTIONS.ETQ_CHECKLIST_QUESTION_COMMENTS#49">
    <vt:lpwstr>      </vt:lpwstr>
  </property>
  <property fmtid="{D5CDD505-2E9C-101B-9397-08002B2CF9AE}" pid="162" name="ETQ_CHECKLIST_DOCUMENT.AM_CD_ELEMENT_D#23">
    <vt:lpwstr>Trace 1.1 Vendor Management -</vt:lpwstr>
  </property>
  <property fmtid="{D5CDD505-2E9C-101B-9397-08002B2CF9AE}" pid="163" name="ETQ_CHECKLIST_QUESTIONS.ETQ_CHECKLIST_QUESTION_PREVIOUS_COMMENTS#35">
    <vt:lpwstr>      </vt:lpwstr>
  </property>
  <property fmtid="{D5CDD505-2E9C-101B-9397-08002B2CF9AE}" pid="164" name="ETQ_CHECKLIST_QUESTIONS.ETQ_CHECKLIST_QUESTION_HINT#17">
    <vt:lpwstr>The Supplier Quality Management Program includes a specification and verification program to ensure goods and services purchased meet specification.   The specification is informed by the risk assessment and forms part of the contract defining what is purchased.  A Q&amp;FS audit of the supplier is used where Q&amp;FS verification is required of the purchased goods and services.  An inbound verification program exists and confirms that purchased materials meet the specification.   Purchasing communicates to external suppliers its requirements for:_x000d_
 - Processes, products and services to be provided_x000d_
 - Approval and release of processes and products_x000d_
 - Approval and deployment of services_x000d_
 - Competence of people involved with delivery of processes, products and services_x000d_
 - Communication and interaction, including updates, reviews, visits_x000d_
 - Control, monitoring and verification of external supplier performance_x000d_
 - Any validation and verification activities to be done at the supplier’s premises_x000d_
Specifications for outsourced services and material /product (raw &amp; packaging) suppliers are:-_x000d_
a) controlled (date, version, owner)._x000d_
b) based on a risk assessment, determining relevant Q&amp;FS and legal requirements/limits._x000d_
_x000d_
Evidence include :-_x000d_
* Specifications available for all critical materials /product and services purchased by the supplier._x000d_
* Delivery vehicles are checked on receipt to verify that the Q&amp;FS of the materials / products has been maintained during transit, including transportation temperatures and security._x000d_
* A good / services verification process, including; Receivals process, sampling, testing, COA/COC check, Q&amp;FS audit utilised. The method of verification is documented.  _x000d_
* Access points to bulk is based on the risk assessment for supplier and material._x000d_
* 3rd party lab services_x000d_
* That specifications includes scope / accreditation required_x000d_
* Supplier non-conformance measurement (record of incidents, database or spreadsheet to capture data, evidence of CAPA follow up with supplier, target KPIs in place)._x000d_
_x000d_
Pesticides Management Focus_x000d_
- Is the Residue Verification Program based on a thorough Pesticide Risk Assessment?_x000d_
- Is testing frequency aligned with the risk assessment? (Varies based on supply chain integration and upstream control)._x000d_
- Are verifications conducted promptly post-harvest?_x000d_
- Is testing conducted in an accredited lab (e.g., ISO 17025)?_x000d_
- Do lab methods fall within the accreditation scope?_x000d_
- Are detection methods sensitive enough to demonstarte compliance with Maximum Residue Limits? (Check LoQ)_x000d_
- Does the screener cover all relevant residues?_x000d_
- Are banned chemicals in specific regions included in verification activities?  (e.g., Ethylene Oxide, Fipronil, Glyphosate)_x000d_
_x000d_
Does the supplier assess risks from processing/storage/transportation chemicals for testing necessity and frequency? _x000d_
*Consult regional bans and emerging risks with S&amp;RA Teams.</vt:lpwstr>
  </property>
  <property fmtid="{D5CDD505-2E9C-101B-9397-08002B2CF9AE}" pid="165" name="ETQ_CHECKLIST_QUESTIONS.ETQ_CHECKLIST_QUESTION_QUESTION#9">
    <vt:lpwstr>Monitoring equipment_x000d_
_x000d_
Equipment used to monitor the process and the product performs as intended at all times.</vt:lpwstr>
  </property>
  <property fmtid="{D5CDD505-2E9C-101B-9397-08002B2CF9AE}" pid="166" name="ETQ_CHECKLIST_QUESTIONS.ETQ_CHECKLIST_QUESTION_COMMENTS#45">
    <vt:lpwstr>      </vt:lpwstr>
  </property>
  <property fmtid="{D5CDD505-2E9C-101B-9397-08002B2CF9AE}" pid="167" name="ETQ_CHECKLIST_QUESTIONS.ETQ_CHECKLIST_QUESTION_COMMENTS#46">
    <vt:lpwstr>      </vt:lpwstr>
  </property>
  <property fmtid="{D5CDD505-2E9C-101B-9397-08002B2CF9AE}" pid="168" name="ETQ_CHECKLIST_QUESTIONS.ETQ_CHECKLIST_QUESTION_COMMENTS#16">
    <vt:lpwstr>      </vt:lpwstr>
  </property>
  <property fmtid="{D5CDD505-2E9C-101B-9397-08002B2CF9AE}" pid="169" name="ETQ_CHECKLIST_QUESTIONS.ETQ_CHECKLIST_QUESTION_HINT#26">
    <vt:lpwstr>"The pre-requisite programmes (PRP's) are basic conditions and activities that are necessary to maintain a hygienic environment suitable for production, handling and provision of food safe materials /products. _x000d_
They DO NOT control hazards or steps_x000d_
E.g. Supplier control programme_x000d_
Cleaning and sanitation_x000d_
Personal hygiene_x000d_
Training_x000d_
Pest control_x000d_
_x000d_
The PRPs used at the supplier should be justified based on: Codex Alimentarius, applicable laws and regulations, professional guides, industry standards, and customer requirements. As food manufacturing operations are very diverse in nature, not all of the PRPs requirements specified in the Mars audit may apply to every operation or process._x000d_
_x000d_
The PRPs should  be documented &amp; approved._x000d_
_x000d_
Evidence:-_x000d_
*The Mars MRA/PRA/EMPRA should be used to assess the PRPs and other controls necessary to maintain the hygienic environment for the production of the Mars material / product."</vt:lpwstr>
  </property>
  <property fmtid="{D5CDD505-2E9C-101B-9397-08002B2CF9AE}" pid="170" name="ETQ_CHECKLIST_QUESTIONS.ETQ_CHECKLIST_QUESTION_PREVIOUS_COMMENTS#1">
    <vt:lpwstr>      </vt:lpwstr>
  </property>
  <property fmtid="{D5CDD505-2E9C-101B-9397-08002B2CF9AE}" pid="171" name="ETQ_CHECKLIST_QUESTIONS.ETQ_CHECKLIST_QUESTION_PREVIOUS_COMMENTS#24">
    <vt:lpwstr>      </vt:lpwstr>
  </property>
  <property fmtid="{D5CDD505-2E9C-101B-9397-08002B2CF9AE}" pid="172" name="ETQ_CHECKLIST_QUESTIONS.ETQ_CHECKLIST_QUESTION_COMMENTS#38">
    <vt:lpwstr>      </vt:lpwstr>
  </property>
  <property fmtid="{D5CDD505-2E9C-101B-9397-08002B2CF9AE}" pid="173" name="ETQ_CHECKLIST_DOCUMENT.AM_CD_ELEMENT_D#31">
    <vt:lpwstr>HACCP 5.4.3 Hazard Analysis - Hazard assessment</vt:lpwstr>
  </property>
  <property fmtid="{D5CDD505-2E9C-101B-9397-08002B2CF9AE}" pid="174" name="ETQ_CHECKLIST_QUESTIONS.ETQ_CHECKLIST_QUESTION_QUESTION#34">
    <vt:lpwstr>CCP program in place_x000d_
_x000d_
Critical control points (CCP's) have been identified and implemented to mitigate FS hazards.</vt:lpwstr>
  </property>
  <property fmtid="{D5CDD505-2E9C-101B-9397-08002B2CF9AE}" pid="175" name="ETQ_CHECKLIST_QUESTIONS.ETQ_CHECKLIST_QUESTION_CLASSIFICATION#49">
    <vt:lpwstr>      </vt:lpwstr>
  </property>
  <property fmtid="{D5CDD505-2E9C-101B-9397-08002B2CF9AE}" pid="176" name="ETQ_CHECKLIST_DOCUMENT.AM_CD_ELEMENT_D#14">
    <vt:lpwstr>QMPv3 9.5.5.1 Production and service provision</vt:lpwstr>
  </property>
  <property fmtid="{D5CDD505-2E9C-101B-9397-08002B2CF9AE}" pid="177" name="ETQ_CHECKLIST_QUESTIONS.ETQ_CHECKLIST_QUESTION_COMMENTS#55">
    <vt:lpwstr>      </vt:lpwstr>
  </property>
  <property fmtid="{D5CDD505-2E9C-101B-9397-08002B2CF9AE}" pid="178" name="ETQ_CHECKLIST_QUESTIONS.ETQ_CHECKLIST_QUESTION_HINT#52">
    <vt:lpwstr>Procedures and specifications should exist which determine Q&amp;FS requirements for storage &amp; transport._x000d_
_x000d_
Warehousing requirements:_x000d_
a) facilities to store ingredients, packaging and products shall be protected from dust, condensation , drains, waste and other sources of contamination._x000d_
b) areas shall be dry and well ventilated. Temperature, humidity and other environmental conditions have to be controlled when required by the material / product or storage specifications._x000d_
c) materials / products shall be stored off the floor and with sufficient space between the material / product and the wall to allow inspection and pest control activities._x000d_
d) stacked in a way as to prevent damage to the lower layers._x000d_
e) waste materials and chemicals (cleaning products, lubricants, pesticides) must be stored separately and in a secure manner (locked or with access controlled)._x000d_
f) any non-conforming materials /products must be segregated from conforming materials /products._x000d_
g) a quarantine area must be designated for the storage of non conforming materials /products._x000d_
h) stock rotation systems (FIFO/FEFO) must be followed._x000d_
I) gasoline or diesel-powered fork-lift trucks must not be used in food ingredient or product storage areas._x000d_
j) loading and unloading areas should be covered where possible, or risks must be evaluated and mitigated._x000d_
k)Pallets are in good condition and stored appropriately._x000d_
l) Product shall be store properly to prevent any cross contamination with any allergen stored in the area _x000d_
m) Procedure for cleaning of spills in the warehouse  shall be documented and implemented_x000d_
_x000d_
Vehicles, conveyances, and containers:_x000d_
a) must be in good conditions, clean, free of pests  and provide protection against damage or contamination of the product._x000d_
b) temperature and humidity must be controlled and recorded when required by the product;._x000d_
c) cleaning between loads is necessary when they are used for food material /product and non-food materials /products._x000d_
d) if vehicles or containers are used for food and non food materials / products a procedure should be in place to prevent contamination._x000d_
e) bulk containers must be for food (human food )or feed use (pet food) only. When required, they m+F62ust be dedicated to a specified material._x000d_
f) vehicles must be sealed to prevent tampering or contamination during transport.</vt:lpwstr>
  </property>
  <property fmtid="{D5CDD505-2E9C-101B-9397-08002B2CF9AE}" pid="179" name="ETQ_CHECKLIST_QUESTIONS.ETQ_CHECKLIST_QUESTION_PREVIOUS_COMMENTS#30">
    <vt:lpwstr>      </vt:lpwstr>
  </property>
  <property fmtid="{D5CDD505-2E9C-101B-9397-08002B2CF9AE}" pid="180" name="ETQ_CHECKLIST_DOCUMENT.AM_CD_ELEMENT_D#10">
    <vt:lpwstr>QMPv3 9.4.4 Communication ( internal and external communication)</vt:lpwstr>
  </property>
  <property fmtid="{D5CDD505-2E9C-101B-9397-08002B2CF9AE}" pid="181" name="ETQ_CHECKLIST_QUESTIONS.ETQ_CHECKLIST_QUESTION_CLASSIFICATION#30">
    <vt:lpwstr>      </vt:lpwstr>
  </property>
  <property fmtid="{D5CDD505-2E9C-101B-9397-08002B2CF9AE}" pid="182" name="ETQ_CHECKLIST_QUESTIONS.ETQ_CHECKLIST_QUESTION_PREVIOUS_COMMENTS#31">
    <vt:lpwstr>      </vt:lpwstr>
  </property>
  <property fmtid="{D5CDD505-2E9C-101B-9397-08002B2CF9AE}" pid="183" name="ETQ_CHECKLIST_QUESTIONS.ETQ_CHECKLIST_QUESTION_PREVIOUS_COMMENTS#43">
    <vt:lpwstr>      </vt:lpwstr>
  </property>
  <property fmtid="{D5CDD505-2E9C-101B-9397-08002B2CF9AE}" pid="184" name="ETQ_CHECKLIST_QUESTIONS.ETQ_CHECKLIST_QUESTION_CLASSIFICATION#11">
    <vt:lpwstr>      </vt:lpwstr>
  </property>
  <property fmtid="{D5CDD505-2E9C-101B-9397-08002B2CF9AE}" pid="185" name="ETQ_CHECKLIST_QUESTIONS.ETQ_CHECKLIST_QUESTION_COMMENTS#2">
    <vt:lpwstr>      </vt:lpwstr>
  </property>
  <property fmtid="{D5CDD505-2E9C-101B-9397-08002B2CF9AE}" pid="186" name="ETQ_CHECKLIST_QUESTIONS.ETQ_CHECKLIST_QUESTION_COMMENTS#47">
    <vt:lpwstr>      </vt:lpwstr>
  </property>
  <property fmtid="{D5CDD505-2E9C-101B-9397-08002B2CF9AE}" pid="187" name="ETQ_CHECKLIST_QUESTIONS.ETQ_CHECKLIST_QUESTION_HINT#9">
    <vt:lpwstr>The monitoring and measuring equipment and application are adequate to enable the control of the facilities environment and product quality._x000d_
Monitoring and measuring processes, procedures and methods enable the verification of specified performance._x000d_
_x000d_
Measuring equipment and methods used are:-_x000d_
-Calibrated or verified at specified intervals or prior to use against recognised and traceable standards._x000d_
 ( measurement results by accredited  service providers or approved trainer personnel  that comply with relevant calibration criteria )_x000d_
- Adjusted or re-adjusted as necessary._x000d_
- Identified to enable the calibration status to be determined._x000d_
- Safeguarded from adjustments that would invalidate the measurement results._x000d_
- Protected from damage and deterioration._x000d_
Records of the results of calibration and verification must be maintained. _x000d_
_x000d_
Action is taken when equipment is damaged or out of calibration, including replacement or repair of the equipment taken out of circulation, and an  assessment of the impact on previous measurements and the quality of any product or service that might be affected by the measurements. _x000d_
_x000d_
Evidence:-_x000d_
* Equipment is in good condition_x000d_
* Calibration status is displayed_x000d_
* Out of calibration equipment is actioned.  Request an example (if available) _x000d_
* The master calibration schedule is available_x000d_
* Select equipment and confirm that calibration is performed as defined and records are available. If CA needed it, those are documented. Focus on critical testing equipment for the type of material, product or service. _x000d_
e.g. Kill step equipment (thermocouples, pressure gages, belt speed); Scales, Pressure meters, auto samplers, thermometers used in process.</vt:lpwstr>
  </property>
  <property fmtid="{D5CDD505-2E9C-101B-9397-08002B2CF9AE}" pid="188" name="ETQ_CHECKLIST_QUESTIONS.ETQ_CHECKLIST_QUESTION_PREVIOUS_COMMENTS#36">
    <vt:lpwstr>      </vt:lpwstr>
  </property>
  <property fmtid="{D5CDD505-2E9C-101B-9397-08002B2CF9AE}" pid="189" name="ETQ_CHECKLIST_QUESTIONS.ETQ_CHECKLIST_QUESTION_CLASSIFICATION#15">
    <vt:lpwstr>      </vt:lpwstr>
  </property>
  <property fmtid="{D5CDD505-2E9C-101B-9397-08002B2CF9AE}" pid="190" name="ETQ_CHECKLIST_QUESTIONS.ETQ_CHECKLIST_QUESTION_CLASSIFICATION#39">
    <vt:lpwstr>      </vt:lpwstr>
  </property>
  <property fmtid="{D5CDD505-2E9C-101B-9397-08002B2CF9AE}" pid="191" name="ETQ_CHECKLIST_QUESTIONS.ETQ_CHECKLIST_QUESTION_COMMENTS#32">
    <vt:lpwstr>      </vt:lpwstr>
  </property>
  <property fmtid="{D5CDD505-2E9C-101B-9397-08002B2CF9AE}" pid="192" name="ETQ_CHECKLIST_QUESTIONS.ETQ_CHECKLIST_QUESTION_CLASSIFICATION#26">
    <vt:lpwstr>      </vt:lpwstr>
  </property>
  <property fmtid="{D5CDD505-2E9C-101B-9397-08002B2CF9AE}" pid="193" name="ETQ_CHECKLIST_QUESTIONS.ETQ_CHECKLIST_QUESTION_PREVIOUS_COMMENTS#46">
    <vt:lpwstr>      </vt:lpwstr>
  </property>
  <property fmtid="{D5CDD505-2E9C-101B-9397-08002B2CF9AE}" pid="194" name="ETQ_CHECKLIST_DOCUMENT.AM_CD_ELEMENT_D#45">
    <vt:lpwstr>GMP 07.3 Measures for Prevention of Cross Contamination - Chemical Contamination and Allergen Management</vt:lpwstr>
  </property>
  <property fmtid="{D5CDD505-2E9C-101B-9397-08002B2CF9AE}" pid="195" name="ETQ_CHECKLIST_QUESTIONS.ETQ_CHECKLIST_QUESTION_QUESTION#22">
    <vt:lpwstr>Q&amp;FS  Incident management and recall_x000d_
_x000d_
The supplier has established effective processes to manage Q&amp;FS incidents, including  personnel with the authority to initiate a recall and responsible for its execution.</vt:lpwstr>
  </property>
  <property fmtid="{D5CDD505-2E9C-101B-9397-08002B2CF9AE}" pid="196" name="ETQ_CHECKLIST_QUESTIONS.ETQ_CHECKLIST_QUESTION_CLASSIFICATION#53">
    <vt:lpwstr>      </vt:lpwstr>
  </property>
  <property fmtid="{D5CDD505-2E9C-101B-9397-08002B2CF9AE}" pid="197" name="ETQ_CHECKLIST_QUESTIONS.ETQ_CHECKLIST_QUESTION_QUESTION#59">
    <vt:lpwstr>Reliability of laboratory results is assured using: _x000d_
a) internal quality control (IQC) procedures._x000d_
b) external quality control (EQC) procedures _x000d_
QC data is monitored and trended and actions are taken where QC results fall outside specified limits.</vt:lpwstr>
  </property>
  <property fmtid="{D5CDD505-2E9C-101B-9397-08002B2CF9AE}" pid="198" name="ETQ_CHECKLIST_QUESTIONS.ETQ_CHECKLIST_QUESTION_PREVIOUS_COMMENTS#65">
    <vt:lpwstr>      </vt:lpwstr>
  </property>
  <property fmtid="{D5CDD505-2E9C-101B-9397-08002B2CF9AE}" pid="199" name="ETQ_CHECKLIST_QUESTIONS.ETQ_CHECKLIST_QUESTION_COMMENTS#7">
    <vt:lpwstr>      </vt:lpwstr>
  </property>
  <property fmtid="{D5CDD505-2E9C-101B-9397-08002B2CF9AE}" pid="200" name="ETQ_CHECKLIST_QUESTIONS.ETQ_CHECKLIST_QUESTION_PREVIOUS_COMMENTS#38">
    <vt:lpwstr>      </vt:lpwstr>
  </property>
  <property fmtid="{D5CDD505-2E9C-101B-9397-08002B2CF9AE}" pid="201" name="ETQ_CHECKLIST_QUESTIONS.ETQ_CHECKLIST_QUESTION_COMMENTS#31">
    <vt:lpwstr>      </vt:lpwstr>
  </property>
  <property fmtid="{D5CDD505-2E9C-101B-9397-08002B2CF9AE}" pid="202" name="ETQ_CHECKLIST_QUESTIONS.ETQ_CHECKLIST_QUESTION_HINT#55">
    <vt:lpwstr>The sample registration and labelling process  minimises the risk of swapping samples and samples are readily identifiable and traceable all the way through the lab process. _x000d_
Storage conditions are suitable prior to analysis and during the post-analysis retention period. _x000d_
Sub-sampling and sample preparation (grinding, milling, homogenisation) is controlled and minimises the risk of cross-contamination or degradation. _x000d_
Disposal of Test Items, especially Mars branded items, is in accordance with Mars requirements._x000d_
_x000d_
For microbiological lab, review sample and personnel flow to ensure there is no cross-traffic to prevent cross-contamination between the plant and on-site laboratory</vt:lpwstr>
  </property>
  <property fmtid="{D5CDD505-2E9C-101B-9397-08002B2CF9AE}" pid="203" name="ETQ_CHECKLIST_DOCUMENT.AM_CD_ELEMENT_D#28">
    <vt:lpwstr>HACCP 5.3.4 Preliminary Steps to Enable Hazard Analysis - Intended use</vt:lpwstr>
  </property>
  <property fmtid="{D5CDD505-2E9C-101B-9397-08002B2CF9AE}" pid="204" name="ETQ_CHECKLIST_QUESTIONS.ETQ_CHECKLIST_QUESTION_HINT#28">
    <vt:lpwstr>Check to ensure the food safety management programme identifies the users and consumers of the material / product, including highly vulnerable consumers, along with the intended use and preparation/handling of the material (including reasonable unintended misuse/mishandling). _x000d_
_x000d_
Confirm that all information identified is known to Mars._x000d_
_x000d_
Evidence_x000d_
Review Product - Materials  intended use description _x000d_
Ask supplier how is this communicated to Mars, report brief description of the process and person notified</vt:lpwstr>
  </property>
  <property fmtid="{D5CDD505-2E9C-101B-9397-08002B2CF9AE}" pid="205" name="ETQ_CHECKLIST_QUESTIONS.ETQ_CHECKLIST_QUESTION_HINT#64">
    <vt:lpwstr>The supplier must determine, collect, analyse appropriate data  and information arising from monitoring and measurement , including results of verification activities related to PRP;s  internal audit and external audits  and trend appropriate data to identify gaps/risks and demonstrate the suitability and effectiveness of the Q&amp;FS management system and identify improvements._x000d_
This must include data generated as a result of verification activities  monitoring and measurement and from other relevant_x000d_
_x000d_
The analysis of data must provide information relating to:-_x000d_
-Customer satisfaction_x000d_
-Conformity to quality, food safety and legal product requirements_x000d_
-Characteristics and trends of processes and products, including opportunities for preventive actions; and supplier performance._x000d_
Where appropriate, a statistical approach to data must be used_x000d_
_x000d_
_x000d_
Check that there is a  defined process in-place to manage performance monitoring and measurement._x000d_
Verify that an appropriate set of Q&amp;FS KPIs has been developed, with targets   _x000d_
Check for evidence that action taken if results fall outside acceptable limits and does this action result in performance returning to target ?</vt:lpwstr>
  </property>
  <property fmtid="{D5CDD505-2E9C-101B-9397-08002B2CF9AE}" pid="206" name="ETQ_CHECKLIST_QUESTIONS.ETQ_CHECKLIST_QUESTION_QUESTION#27">
    <vt:lpwstr>Product description_x000d_
_x000d_
All raw materials, product-contact materials and finished products are defined to enable a complete hazard analysis.</vt:lpwstr>
  </property>
  <property fmtid="{D5CDD505-2E9C-101B-9397-08002B2CF9AE}" pid="207" name="ETQ_CHECKLIST_QUESTIONS.ETQ_CHECKLIST_QUESTION_CLASSIFICATION#28">
    <vt:lpwstr>      </vt:lpwstr>
  </property>
  <property fmtid="{D5CDD505-2E9C-101B-9397-08002B2CF9AE}" pid="208" name="ETQ_CHECKLIST_QUESTIONS.ETQ_CHECKLIST_QUESTION_QUESTION#54">
    <vt:lpwstr>All documents required for the effectiveness of the laboratory quality  management  are in place and controlled._x000d_
Test Methods (including sample preparation) are preferably internationally recognized  and conform to those specified by Mars.</vt:lpwstr>
  </property>
  <property fmtid="{D5CDD505-2E9C-101B-9397-08002B2CF9AE}" pid="209" name="ETQ_CHECKLIST_QUESTIONS.ETQ_CHECKLIST_QUESTION_CLASSIFICATION#50">
    <vt:lpwstr>      </vt:lpwstr>
  </property>
  <property fmtid="{D5CDD505-2E9C-101B-9397-08002B2CF9AE}" pid="210" name="ETQ_CHECKLIST_QUESTIONS.ETQ_CHECKLIST_QUESTION_PREVIOUS_COMMENTS#55">
    <vt:lpwstr>      </vt:lpwstr>
  </property>
  <property fmtid="{D5CDD505-2E9C-101B-9397-08002B2CF9AE}" pid="211" name="ETQ_CHECKLIST_QUESTIONS.ETQ_CHECKLIST_QUESTION_QUESTION#62">
    <vt:lpwstr>Where the supplier subcontracts analyses which are required to confirm product safety, legality and quality, the 3rd party laboratory is assured and competent to perform the test.</vt:lpwstr>
  </property>
  <property fmtid="{D5CDD505-2E9C-101B-9397-08002B2CF9AE}" pid="212" name="ETQ_CHECKLIST_QUESTIONS.ETQ_CHECKLIST_QUESTION_CLASSIFICATION#40">
    <vt:lpwstr>      </vt:lpwstr>
  </property>
  <property fmtid="{D5CDD505-2E9C-101B-9397-08002B2CF9AE}" pid="213" name="ETQ_CHECKLIST_QUESTIONS.ETQ_CHECKLIST_QUESTION_CLASSIFICATION#44">
    <vt:lpwstr>      </vt:lpwstr>
  </property>
  <property fmtid="{D5CDD505-2E9C-101B-9397-08002B2CF9AE}" pid="214" name="ETQ_CHECKLIST_QUESTIONS.ETQ_CHECKLIST_QUESTION_CLASSIFICATION#37">
    <vt:lpwstr>      </vt:lpwstr>
  </property>
  <property fmtid="{D5CDD505-2E9C-101B-9397-08002B2CF9AE}" pid="215" name="ETQ_CHECKLIST_QUESTIONS.ETQ_CHECKLIST_QUESTION_CLASSIFICATION#42">
    <vt:lpwstr>      </vt:lpwstr>
  </property>
  <property fmtid="{D5CDD505-2E9C-101B-9397-08002B2CF9AE}" pid="216" name="ETQ_CHECKLIST_QUESTIONS.ETQ_CHECKLIST_QUESTION_HINT#3">
    <vt:lpwstr>The business identifies, assesses, consolidates and prioritises relevant risks and opportunities related to the business that need to be addressed.  This should include internal and external factors, ensuring that the needs of the customer are met.  Short and longer term risks and opportunities should be assessed. _x000d_
_x000d_
Evidence:-_x000d_
* Intelligence that identifies potential hazards or risks to the business?_x000d_
* How internal/ external factors are evaluated. _x000d_
* How changes are anticipated, managed and responded to._x000d_
* How learnings from the past experiences and incidents are used to prepare for the future?_x000d_
* Food fraud vulnerabilities are assessed and actioned._x000d_
* Risk assessment to establish the relative priorities of the risk and opportunities_x000d_
* Appropriate and effective actions to address these risks and opportunities_x000d_
* Description on how responses are implemented and integrated into the Management System and their effectiveness evaluated._x000d_
* The business strategy enables fast and effective response, with appropriate governance to ensure the right decisions are made?_x000d_
* Opportunities identified that are related to the quality of the product/service_x000d_
* Evaluation and communication of industry best practices or regulatory changes</vt:lpwstr>
  </property>
  <property fmtid="{D5CDD505-2E9C-101B-9397-08002B2CF9AE}" pid="217" name="ETQ_CHECKLIST_QUESTIONS.ETQ_CHECKLIST_QUESTION_COMMENTS#64">
    <vt:lpwstr>      </vt:lpwstr>
  </property>
  <property fmtid="{D5CDD505-2E9C-101B-9397-08002B2CF9AE}" pid="218" name="ETQ_CHECKLIST_QUESTIONS.ETQ_CHECKLIST_QUESTION_HINT#50">
    <vt:lpwstr>Personal behaviour: a document policy should include :-_x000d_
a) permissibility of smoking, eating, chewing in designated areas only._x000d_
b) control measures to minimise hazards presented by permitted jewellery, such as that worn by personnel in processing and storage areas, taking into account religious, ethnic, medical and cultural imperatives._x000d_
c) permissibility of personal items, such as smoking materials and medicines, in designated areas only._x000d_
d) prohibition of the use of nail polish, false nails and false eyelashes._x000d_
e) prohibition of carrying of writing implements behind the ears._x000d_
f) maintenance of personal lockers so that they are kept free from rubbish and soiled clothing._x000d_
g) prohibition of storage of product contact tools and equipment in personal lockers. _x000d_
_x000d_
Evidence _x000d_
During the factory visit, observe behaviour of personnel against compliance with the standard no eating, smoking or drinking in production areas._x000d_
_x000d_
Look for evidence that Visitors are informed about the hygiene &amp; safety measures to be observed during their presence on the site.</vt:lpwstr>
  </property>
  <property fmtid="{D5CDD505-2E9C-101B-9397-08002B2CF9AE}" pid="219" name="ETQ_CHECKLIST_QUESTIONS.ETQ_CHECKLIST_QUESTION_CLASSIFICATION#62">
    <vt:lpwstr>      </vt:lpwstr>
  </property>
  <property fmtid="{D5CDD505-2E9C-101B-9397-08002B2CF9AE}" pid="220" name="ETQ_CHECKLIST_DOCUMENT.AM_CD_ELEMENT_D#43">
    <vt:lpwstr>GMP 05.1 Equipment Suitability, Cleaning and Maintenance - General Requirements</vt:lpwstr>
  </property>
  <property fmtid="{D5CDD505-2E9C-101B-9397-08002B2CF9AE}" pid="221" name="ETQ_CHECKLIST_QUESTIONS.ETQ_CHECKLIST_QUESTION_HINT#32">
    <vt:lpwstr>Control measures required for the elimination/reduction of significant food safety hazards to acceptable levels must be documented._x000d_
_x000d_
Eliminated equates to reduce to acceptable levels which will vary hazard by hazard. Confirm that each eliminated is justified._x000d_
_x000d_
The control measures selected must be categorised as to whether they need to be managed as Critical Control Points. _x000d_
_x000d_
The selection and categorisation must be carried out using a logical approach._x000d_
The methodology and parameters used for this categorisation must be documented and the results of the assessment recorded.</vt:lpwstr>
  </property>
  <property fmtid="{D5CDD505-2E9C-101B-9397-08002B2CF9AE}" pid="222" name="ETQ_CHECKLIST_DOCUMENT.AM_CD_ELEMENT_D#21">
    <vt:lpwstr>QMPv3 9.5.7 Control of Non-Conforming Products and Services</vt:lpwstr>
  </property>
  <property fmtid="{D5CDD505-2E9C-101B-9397-08002B2CF9AE}" pid="223" name="ETQ_CHECKLIST_QUESTIONS.ETQ_CHECKLIST_QUESTION_COMMENTS#18">
    <vt:lpwstr>      </vt:lpwstr>
  </property>
  <property fmtid="{D5CDD505-2E9C-101B-9397-08002B2CF9AE}" pid="224" name="ETQ_CHECKLIST_QUESTIONS.ETQ_CHECKLIST_QUESTION_QUESTION#11">
    <vt:lpwstr>Q&amp;FS Documentation_x000d_
_x000d_
Current documents and records required for an effective Q&amp;FS system are available, understood and controlled.</vt:lpwstr>
  </property>
  <property fmtid="{D5CDD505-2E9C-101B-9397-08002B2CF9AE}" pid="225" name="ETQ_CHECKLIST_QUESTIONS.ETQ_CHECKLIST_QUESTION_PREVIOUS_COMMENTS#39">
    <vt:lpwstr>      </vt:lpwstr>
  </property>
  <property fmtid="{D5CDD505-2E9C-101B-9397-08002B2CF9AE}" pid="226" name="ETQ_CHECKLIST_QUESTIONS.ETQ_CHECKLIST_QUESTION_CLASSIFICATION#38">
    <vt:lpwstr>      </vt:lpwstr>
  </property>
  <property fmtid="{D5CDD505-2E9C-101B-9397-08002B2CF9AE}" pid="227" name="ETQ_CHECKLIST_QUESTIONS.ETQ_CHECKLIST_QUESTION_CLASSIFICATION#35">
    <vt:lpwstr>      </vt:lpwstr>
  </property>
  <property fmtid="{D5CDD505-2E9C-101B-9397-08002B2CF9AE}" pid="228" name="ETQ_CHECKLIST_QUESTIONS.ETQ_CHECKLIST_QUESTION_COMMENTS#20">
    <vt:lpwstr>      </vt:lpwstr>
  </property>
  <property fmtid="{D5CDD505-2E9C-101B-9397-08002B2CF9AE}" pid="229" name="ETQ_CHECKLIST_DOCUMENT.AM_CD_ELEMENT_D#41">
    <vt:lpwstr>GMP 03.2 Utilities - Air, Water, Energy - Water Supply</vt:lpwstr>
  </property>
  <property fmtid="{D5CDD505-2E9C-101B-9397-08002B2CF9AE}" pid="230" name="ETQ_CHECKLIST_QUESTIONS.ETQ_CHECKLIST_QUESTION_PREVIOUS_COMMENTS#53">
    <vt:lpwstr>      </vt:lpwstr>
  </property>
  <property fmtid="{D5CDD505-2E9C-101B-9397-08002B2CF9AE}" pid="231" name="ETQ_CHECKLIST_QUESTIONS.ETQ_CHECKLIST_QUESTION_QUESTION#33">
    <vt:lpwstr>Controls that are not measured in real time  have been identified and implemented to mitigate significant food safety hazards</vt:lpwstr>
  </property>
  <property fmtid="{D5CDD505-2E9C-101B-9397-08002B2CF9AE}" pid="232" name="ETQ_CHECKLIST_QUESTIONS.ETQ_CHECKLIST_QUESTION_CLASSIFICATION#48">
    <vt:lpwstr>      </vt:lpwstr>
  </property>
  <property fmtid="{D5CDD505-2E9C-101B-9397-08002B2CF9AE}" pid="233" name="ETQ_CHECKLIST_QUESTIONS.ETQ_CHECKLIST_QUESTION_QUESTION#43">
    <vt:lpwstr>Equipment suitability, cleaning and maintenance_x000d_
_x000d_
Production equipment is designed as appropriate for the materials / products being produced ,including accessibility for production maintenance and cleaning activities. A preventative and corrective maintenance program is in place.</vt:lpwstr>
  </property>
  <property fmtid="{D5CDD505-2E9C-101B-9397-08002B2CF9AE}" pid="234" name="ETQ_CHECKLIST_QUESTIONS.ETQ_CHECKLIST_QUESTION_HINT#47">
    <vt:lpwstr>Evidence:_x000d_
* During the site visit, observe_x000d_
-  the level of cleanliness across the plant and equipment  (clean floors, clutter and rubbish, grime on walls, equipment surfaces, spillages). _x000d_
- Check that tools used for cleaning are color coded, properly stored and in good condition. Procedure should be in place on how to clean and verify cleanliness of cleaning tools. _x000d_
* Check how long spillages and clutter has been left in the area. There should be no free standing water pools in production areas, especially areas deemed as dry areas. _x000d_
*Review master sanitation schedule  and cleaning records - check that frequencies match and records are up to date and signed, and that SSOP's are available._x000d_
* If CIP system in place check validation, calibration for the system. Review records for the CIP to include time, temperature, employee doing the cleaning, etc. _x000d_
* Check records for pre-start inspections, post cleaning inspections. Verify that Corrective actions are properly documented._x000d_
* Check the types of cleaning performed: dry cleaning, wet cleaning,  CIP cleaning._x000d_
*  IF high pressure air or water is use , verify that  control measures must be in place to prevent cross contamination . _x000d_
- Check for presence of high pressure water or air hoses  They use must be limited and strictly controlled to prevent cross-contamination.  _x000d_
- Risk assessment is in place for wet cleaning employed in dry areas. _x000d_
_x000d_
Cleaning and sanitizing agents and tools: facilities and equipment are in a condition that facilitates wet or dry cleaning and/or sanitation. Cleaning and sanitizing agents and chemicals must be identified, food grade, stored separately and used according to manufacturer instructions. Tools and equipment must be of hygienic design and in a condition that does not present a source of extraneous matter._x000d_
_x000d_
Cleaning and sanitizing programme: it has to ensure that all facilities and equipment - including cleaning equipment - are cleaned and/or sanitized to a schedule and include: what, who, how (method and frequency, including removal or disassembly requirements ), monitoring and verification arrangements, post-clean inspections, pre-start inspections._x000d_
_x000d_
Cleaning in place (CIP) systems: it has to be separated from active production lines. Parameters must be defined and monitored, including type, concentration, contact time and temperature of chemicals used). Validation for the Clean in Place process (CIP)  and 2) pre-op inspections.  _x000d_
_x000d_
Cleaning and sanitation programmes must be monitored at specified frequencies to ensure they are still suitable and effective. There must be corrective actions in the event cleaning is not done to schedule or if verification fails."</vt:lpwstr>
  </property>
  <property fmtid="{D5CDD505-2E9C-101B-9397-08002B2CF9AE}" pid="235" name="ETQ_CHECKLIST_DOCUMENT.AM_CD_ELEMENT_D#24">
    <vt:lpwstr>Trace 1.3   Vendor Management - Product Identification</vt:lpwstr>
  </property>
  <property fmtid="{D5CDD505-2E9C-101B-9397-08002B2CF9AE}" pid="236" name="ETQ_CHECKLIST_QUESTIONS.ETQ_CHECKLIST_QUESTION_COMMENTS#5">
    <vt:lpwstr>      </vt:lpwstr>
  </property>
  <property fmtid="{D5CDD505-2E9C-101B-9397-08002B2CF9AE}" pid="237" name="ETQ_CHECKLIST_DOCUMENT.ETQ_AUDITS_CHECKLIST_NAME#63">
    <vt:lpwstr>CHECK</vt:lpwstr>
  </property>
  <property fmtid="{D5CDD505-2E9C-101B-9397-08002B2CF9AE}" pid="238" name="ETQ_CHECKLIST_QUESTIONS.ETQ_CHECKLIST_QUESTION_PREVIOUS_COMMENTS#10">
    <vt:lpwstr>      </vt:lpwstr>
  </property>
  <property fmtid="{D5CDD505-2E9C-101B-9397-08002B2CF9AE}" pid="239" name="ETQ_CHECKLIST_QUESTIONS.ETQ_CHECKLIST_QUESTION_QUESTION#8">
    <vt:lpwstr>Q&amp;FS environment_x000d_
_x000d_
Facilities and the working environment are provided to ensure quality is achieved.</vt:lpwstr>
  </property>
  <property fmtid="{D5CDD505-2E9C-101B-9397-08002B2CF9AE}" pid="240" name="ETQ_CHECKLIST_QUESTIONS.ETQ_CHECKLIST_QUESTION_QUESTION#67">
    <vt:lpwstr>Correction, Corrective Actions for Non Conformances _x000d_
_x000d_
Corrective Action must be taken to correct non-conformities through the implementation of appropriate actions to contain and manage the issue.</vt:lpwstr>
  </property>
  <property fmtid="{D5CDD505-2E9C-101B-9397-08002B2CF9AE}" pid="241" name="ETQ_CHECKLIST_QUESTIONS.ETQ_CHECKLIST_QUESTION_QUESTION#38">
    <vt:lpwstr>Review of the FSMP_x000d_
_x000d_
The food safety management programme is kept up to date through regular reviews and when changes are made that could impact on food safety.</vt:lpwstr>
  </property>
  <property fmtid="{D5CDD505-2E9C-101B-9397-08002B2CF9AE}" pid="242" name="ETQ_CHECKLIST_QUESTIONS.ETQ_CHECKLIST_QUESTION_COMMENTS#1">
    <vt:lpwstr>      </vt:lpwstr>
  </property>
  <property fmtid="{D5CDD505-2E9C-101B-9397-08002B2CF9AE}" pid="243" name="ETQ_CHECKLIST_QUESTIONS.ETQ_CHECKLIST_QUESTION_CLASSIFICATION#36">
    <vt:lpwstr>      </vt:lpwstr>
  </property>
  <property fmtid="{D5CDD505-2E9C-101B-9397-08002B2CF9AE}" pid="244" name="ETQ_CHECKLIST_QUESTIONS.ETQ_CHECKLIST_QUESTION_QUESTION#44">
    <vt:lpwstr>Microbiological Contamination / Control_x000d_
_x000d_
Programmes are in place to prevent, control and detect microbiological contamination risks.</vt:lpwstr>
  </property>
  <property fmtid="{D5CDD505-2E9C-101B-9397-08002B2CF9AE}" pid="245" name="ETQ_CHECKLIST_QUESTIONS.ETQ_CHECKLIST_QUESTION_PREVIOUS_COMMENTS#18">
    <vt:lpwstr>      </vt:lpwstr>
  </property>
  <property fmtid="{D5CDD505-2E9C-101B-9397-08002B2CF9AE}" pid="246" name="ETQ_CHECKLIST_QUESTIONS.ETQ_CHECKLIST_QUESTION_HINT#65">
    <vt:lpwstr>An internal audit procedure and an audit schedule covering the critical elements of the Quality and Food Safety Management System should be operating to assess its effectiveness._x000d_
Rigour of the  internal audits program should reflect the type of  supplier activity  and risk _x000d_
Typical  audit program defines: ,criteria, scope, auditor (impartial), selected area, frequency and methods taking into consideration the importance of the processes concerned , changes in the Food safety management systems , results of monitoring , measurement , previous audits ,reporting of results, follow-ups &amp; record maintenance _x000d_
Results must be reported and appropriate corrective action/preventative action process initiated as appropriate_x000d_
_x000d_
Use the internal audit to verify employees understand their responsibility and are accountable for their food safety related tasks. _x000d_
Follow up of actions defined during the internal audits should be verified &amp; effectiveness reviewed._x000d_
Evidence:-_x000d_
* Internal audit procedure_x000d_
* Internal audit plan, with scope and format of each audit defined and plan is implemented _x000d_
Ideally with inputs for focus areas collected during the year e.g. comments from last audit, customer audits, customer complaints have shown potential issues, or where new procedures have been implemented that need checking that they have been embedded. _x000d_
Evidence  _x000d_
* List of internal auditors with training records_x000d_
 ( competent auditors) and auditors would be impartial of the audit process to ensure objectivity _x000d_
* Evidence the audits are being completed on time_x000d_
* Audit reports with actions and evidence the necessary correction , corrective actions are taken within the agreed time frame_x000d_
* Summary of the audit findings and actions is taken into the management review/quality review/ food safety team _x000d_
* Trends of audit findings _x000d_
* review of the internal audit program including trends with key management via management review or other defined forum</vt:lpwstr>
  </property>
  <property fmtid="{D5CDD505-2E9C-101B-9397-08002B2CF9AE}" pid="247" name="ETQ_CHECKLIST_DOCUMENT.AM_CD_ELEMENT_D#62">
    <vt:lpwstr>MQM 3. Step 3.2.1. Acceptable Laboratory Data - 3rd party laboratory</vt:lpwstr>
  </property>
  <property fmtid="{D5CDD505-2E9C-101B-9397-08002B2CF9AE}" pid="248" name="ETQ_CHECKLIST_QUESTIONS.ETQ_CHECKLIST_QUESTION_COMMENTS#58">
    <vt:lpwstr>      </vt:lpwstr>
  </property>
  <property fmtid="{D5CDD505-2E9C-101B-9397-08002B2CF9AE}" pid="249" name="ETQ_CHECKLIST_QUESTIONS.ETQ_CHECKLIST_QUESTION_CLASSIFICATION#51">
    <vt:lpwstr>      </vt:lpwstr>
  </property>
  <property fmtid="{D5CDD505-2E9C-101B-9397-08002B2CF9AE}" pid="250" name="ETQ_CHECKLIST_QUESTIONS.ETQ_CHECKLIST_QUESTION_COMMENTS#36">
    <vt:lpwstr>      </vt:lpwstr>
  </property>
  <property fmtid="{D5CDD505-2E9C-101B-9397-08002B2CF9AE}" pid="251" name="ETQ_CHECKLIST_QUESTIONS.ETQ_CHECKLIST_QUESTION_HINT#34">
    <vt:lpwstr>CCP's are defined as the last control in a process that is measurable in real time to eliminate a hazard._x000d_
_x000d_
For all identified Critical Control Points (CCPs) the following must be defined:- _x000d_
_x000d_
-Food safety hazard(s) to be controlled at the CCP._x000d_
-Control measure(s)._x000d_
-Critical limit(s)_x000d_
-Monitoring procedure(s)._x000d_
-Planned corrections and corrective action(s) to be taken if critical limits are exceeded._x000d_
-Responsibilities and authorities.       _x000d_
-Record(s) of monitoring; validation and verification plan. _x000d_
_x000d_
Check that they are the last control in the process._x000d_
_x000d_
The rationale (validation) for all these CCP parameters must be documented._x000d_
Records must be kept for these controls._x000d_
The material /product is released only when controls are checked to be within limits._x000d_
Evidence include _x000d_
*Check that for each CCP defined the following is defined:_x000d_
* What is measure? Who is responsible for measure it? What is the Method used? How often it is monitored, verified and validated? What are the limits?</vt:lpwstr>
  </property>
  <property fmtid="{D5CDD505-2E9C-101B-9397-08002B2CF9AE}" pid="252" name="ETQ_CHECKLIST_QUESTIONS.ETQ_CHECKLIST_QUESTION_HINT#11">
    <vt:lpwstr>The extent of  Q&amp;FS documentation depends on the size and type (including risk) of the businesses activities, the complexity of the processes and their interactions, and the competency requirements of personnel._x000d_
Records are used to provide evidence of conformity._x000d_
_x000d_
All Q&amp;FS documents that are part of the Q&amp;FS Management System are controlled in a suitable location/ IT system, with revision histories in place, communication made for any changes, and on a set schedule for review._x000d_
Documents are made available to the part of the operation that requires them._x000d_
Documents are relevant to the operation._x000d_
Documents are current._x000d_
Documents are managed in compliance with laws and regulations (e.g. retention time for production and traceability records)._x000d_
_x000d_
Evidence:-_x000d_
* Certifications are available and displayed as required by the certifying body and regulators._x000d_
* Procedures and record templates_x000d_
* Training content and training attendance/competence._x000d_
* Records of production operation_x000d_
* Management Reviews - content, actions and closure.</vt:lpwstr>
  </property>
  <property fmtid="{D5CDD505-2E9C-101B-9397-08002B2CF9AE}" pid="253" name="ETQ_CHECKLIST_DOCUMENT.ETQ_AUDITS_CHECKLIST_NAME#53">
    <vt:lpwstr>Laboratory</vt:lpwstr>
  </property>
  <property fmtid="{D5CDD505-2E9C-101B-9397-08002B2CF9AE}" pid="254" name="ETQ_CHECKLIST_QUESTIONS.ETQ_CHECKLIST_QUESTION_HINT#61">
    <vt:lpwstr>The report (typically CoA) is signed and dated by an authorised, competent person. Using a selected CoA verify that the reported results are consistent with the raw data in the lab.</vt:lpwstr>
  </property>
  <property fmtid="{D5CDD505-2E9C-101B-9397-08002B2CF9AE}" pid="255" name="ETQ_CHECKLIST_QUESTIONS.ETQ_CHECKLIST_QUESTION_COMMENTS#25">
    <vt:lpwstr>      </vt:lpwstr>
  </property>
  <property fmtid="{D5CDD505-2E9C-101B-9397-08002B2CF9AE}" pid="256" name="ETQ_CHECKLIST_DOCUMENT.AM_CD_ELEMENT_D#13">
    <vt:lpwstr>QMPv3 9.5.3 Design and Development of Products and Service</vt:lpwstr>
  </property>
  <property fmtid="{D5CDD505-2E9C-101B-9397-08002B2CF9AE}" pid="257" name="ETQ_CHECKLIST_QUESTIONS.ETQ_CHECKLIST_QUESTION_PREVIOUS_COMMENTS#9">
    <vt:lpwstr>      </vt:lpwstr>
  </property>
  <property fmtid="{D5CDD505-2E9C-101B-9397-08002B2CF9AE}" pid="258" name="ETQ_CHECKLIST_QUESTIONS.ETQ_CHECKLIST_QUESTION_QUESTION#19">
    <vt:lpwstr>Change Management_x000d_
A process is in place to effectively assess and control changes that may impact Q&amp;FS.</vt:lpwstr>
  </property>
  <property fmtid="{D5CDD505-2E9C-101B-9397-08002B2CF9AE}" pid="259" name="ETQ_CHECKLIST_DOCUMENT.AM_CD_ELEMENT_D#8">
    <vt:lpwstr>QMPv3 9.4.1.2 Infrastructure including QMPv3 9.4.1.3</vt:lpwstr>
  </property>
  <property fmtid="{D5CDD505-2E9C-101B-9397-08002B2CF9AE}" pid="260" name="ETQ_CHECKLIST_QUESTIONS.ETQ_CHECKLIST_QUESTION_QUESTION#28">
    <vt:lpwstr>Intended use &amp; consumer(s)_x000d_
_x000d_
The Food Safety Management programme must consider the groups of consumers and the intended use of the product in the risk assessment.</vt:lpwstr>
  </property>
  <property fmtid="{D5CDD505-2E9C-101B-9397-08002B2CF9AE}" pid="261" name="ETQ_CHECKLIST_DOCUMENT.AM_CD_ELEMENT_D#65">
    <vt:lpwstr>QMPv3 9.6.3 Internal Audit</vt:lpwstr>
  </property>
  <property fmtid="{D5CDD505-2E9C-101B-9397-08002B2CF9AE}" pid="262" name="ETQ_CHECKLIST_QUESTIONS.ETQ_CHECKLIST_QUESTION_COMMENTS#43">
    <vt:lpwstr>      </vt:lpwstr>
  </property>
  <property fmtid="{D5CDD505-2E9C-101B-9397-08002B2CF9AE}" pid="263" name="ETQ_CHECKLIST_QUESTIONS.ETQ_CHECKLIST_QUESTION_CLASSIFICATION#63">
    <vt:lpwstr>      </vt:lpwstr>
  </property>
  <property fmtid="{D5CDD505-2E9C-101B-9397-08002B2CF9AE}" pid="264" name="ETQ_CHECKLIST_QUESTIONS.ETQ_CHECKLIST_QUESTION_PREVIOUS_COMMENTS#50">
    <vt:lpwstr>      </vt:lpwstr>
  </property>
  <property fmtid="{D5CDD505-2E9C-101B-9397-08002B2CF9AE}" pid="265" name="ETQ_CHECKLIST_QUESTIONS.ETQ_CHECKLIST_QUESTION_HINT#22">
    <vt:lpwstr>The supplier must have a documented emergency plan covering foreseeable emergencies (e.g. natural disasters, fatality and resulting closure due to H&amp;S investigation, strikes, loss of utilities, fire, flooding, IT systems failures, cyber attacks, bioterrorism, vandalism and sabotage) to include back up activities to ensure continuation of production in event of an emergency and identification of a team to coordinate  implementation of the plans. _x000d_
The emergency plan must to be tested for effectiveness e.g. simulation exercises on a regular basis, nominally each year. _x000d_
For transfer of business to sister sites, a procedure for transfer of key documentation and files must be in place and confirm alternate transfer site has the necessary operating conditions_x000d_
_x000d_
Evidence include :-_x000d_
* Validation records of the plan _x000d_
The site should have a procedure to transfer business to a back up site in case of an emergency._x000d_
The supplier must have a critical incident management process to manage any product non conformance issues identified either during production or after the product has been released to the customer, to include a documented recall procedure. The procedure should identify scope and severity of any incident, who has the authority to initiate a recall, personnel responsible for executing the withdrawal, documentation and communication of the recall itself, requirements for internal and external contacts (incl. Mars), the sequence of events to be followed &amp; handling and control of the withdrawn materials at risk and those in stock._x000d_
* Critical Incident Management process_x000d_
* Documented recall procedure_x000d_
* Records of testing the recall procedure_x000d_
Review CAPA's opened for learnings from incident management and mock recall simulation. _x000d_
* Emergency plans and training on the emergency plan to be conducted in annual bases, to include key stakeholders involved in the foreseeable emergencies</vt:lpwstr>
  </property>
  <property fmtid="{D5CDD505-2E9C-101B-9397-08002B2CF9AE}" pid="266" name="ETQ_CHECKLIST_QUESTIONS.ETQ_CHECKLIST_QUESTION_HINT#63">
    <vt:lpwstr>A process is in place to for suppleir to conduct a Q&amp;FS management system review at least once a year to assess if this is working effectively_x000d_
_x000d_
Evidence include :_x000d_
* Q&amp;FS policy. Look for examples of how the policy supports meeting customer &amp; regulatory requirements or how it is used in decision making.                                 _x000d_
* Management Review Summary (report or presentation) to include KPIs for Q&amp;FS with trended results against targets, review of verification data from hazard analysis, critical incidents and recalls, results of CI projects, internal and external audit results (GFSI, Halal, Kosher, Customer...), supplier performance, emergency situations, hazard analysis review, etc._x000d_
* Analysis of the data to clearly show where areas are on or off track and recommendations for actions where needed._x000d_
* Decisions and actions from the meeting with evidence of follow up._x000d_
* Evidence of effective continuous improvement projects and management of these projects._x000d_
* Evidence of provision of resources_x000d_
* Revision of policy and objectives as appropriate..</vt:lpwstr>
  </property>
  <property fmtid="{D5CDD505-2E9C-101B-9397-08002B2CF9AE}" pid="267" name="ETQ_CHECKLIST_QUESTIONS.ETQ_CHECKLIST_QUESTION_CLASSIFICATION#45">
    <vt:lpwstr>      </vt:lpwstr>
  </property>
  <property fmtid="{D5CDD505-2E9C-101B-9397-08002B2CF9AE}" pid="268" name="ETQ_CHECKLIST_QUESTIONS.ETQ_CHECKLIST_QUESTION_PREVIOUS_COMMENTS#2">
    <vt:lpwstr>      </vt:lpwstr>
  </property>
  <property fmtid="{D5CDD505-2E9C-101B-9397-08002B2CF9AE}" pid="269" name="ETQ_CHECKLIST_QUESTIONS.ETQ_CHECKLIST_QUESTION_QUESTION#57">
    <vt:lpwstr>Equipment that requires calibration and/or verification is identified and calibrated/verified according to a defined scheduled. All calibrations are traceable to national standards.</vt:lpwstr>
  </property>
  <property fmtid="{D5CDD505-2E9C-101B-9397-08002B2CF9AE}" pid="270" name="ETQ_CHECKLIST_QUESTIONS.ETQ_CHECKLIST_QUESTION_COMMENTS#23">
    <vt:lpwstr>      </vt:lpwstr>
  </property>
  <property fmtid="{D5CDD505-2E9C-101B-9397-08002B2CF9AE}" pid="271" name="ETQ_CHECKLIST_QUESTIONS.ETQ_CHECKLIST_QUESTION_CLASSIFICATION#43">
    <vt:lpwstr>      </vt:lpwstr>
  </property>
  <property fmtid="{D5CDD505-2E9C-101B-9397-08002B2CF9AE}" pid="272" name="ETQ_CHECKLIST_QUESTIONS.ETQ_CHECKLIST_QUESTION_QUESTION#14">
    <vt:lpwstr>Process capability: Operational control_x000d_
The process can be demonstrated to operating consistently.</vt:lpwstr>
  </property>
  <property fmtid="{D5CDD505-2E9C-101B-9397-08002B2CF9AE}" pid="273" name="ETQ_CHECKLIST_DOCUMENT.AM_CD_ELEMENT_D#60">
    <vt:lpwstr>MQM 3.2.1. Acceptable Laboratory Data - Authorisation of Results</vt:lpwstr>
  </property>
  <property fmtid="{D5CDD505-2E9C-101B-9397-08002B2CF9AE}" pid="274" name="ETQ_CHECKLIST_QUESTIONS.ETQ_CHECKLIST_QUESTION_COMMENTS#24">
    <vt:lpwstr>      </vt:lpwstr>
  </property>
  <property fmtid="{D5CDD505-2E9C-101B-9397-08002B2CF9AE}" pid="275" name="ETQ_CHECKLIST_QUESTIONS.ETQ_CHECKLIST_QUESTION_HINT#30">
    <vt:lpwstr>The food safety hazards that are reasonably expected to occur based on the internal information (product characteristics, intended use, factory layout, product flow, potential cross contamination control measures) must be identified and recorded, as well as the step(s) at which it may be introduced. _x000d_
_x000d_
The identification must include, when applicable, information from customers, including Mars, or the food chain on food safety hazards that may be of relevance._x000d_
_x000d_
For each hazard identified, the acceptable level of the hazard in the end product must be determined whenever possible, taking into account statutory and regulatory requirements and customer food safety requirements, the intended use by the customer and other relevant data. _x000d_
_x000d_
The result of the determination and its justification must be recorded.</vt:lpwstr>
  </property>
  <property fmtid="{D5CDD505-2E9C-101B-9397-08002B2CF9AE}" pid="276" name="ETQ_CHECKLIST_QUESTIONS.ETQ_CHECKLIST_QUESTION_CLASSIFICATION#33">
    <vt:lpwstr>      </vt:lpwstr>
  </property>
  <property fmtid="{D5CDD505-2E9C-101B-9397-08002B2CF9AE}" pid="277" name="ETQ_CHECKLIST_QUESTIONS.ETQ_CHECKLIST_QUESTION_CLASSIFICATION#22">
    <vt:lpwstr>      </vt:lpwstr>
  </property>
  <property fmtid="{D5CDD505-2E9C-101B-9397-08002B2CF9AE}" pid="278" name="ETQ_CHECKLIST_QUESTIONS.ETQ_CHECKLIST_QUESTION_HINT#45">
    <vt:lpwstr>Programmes to prevent, control and detect chemical contamination must be in place._x000d_
_x000d_
A chemical control procedure must be in place to define the use, storage and handling of non-food chemicals. The chemicals must:_x000d_
a) be approved for purchase;_x000d_
b) have available material safety data sheets and specifications;_x000d_
c) have confirmed suitability for food use;_x000d_
d) not impart an odour to the product;_x000d_
e) be properly identified at all times;_x000d_
f) be segregated and securely stored with restricted access to authorised personnel;_x000d_
g) be used by trained personnel only._x000d_
_x000d_
Allergen management: allergens present in the product - by design or from cross-contamination must be declared on the label and the accompanying documentation for materials / products intended for further processing. Nevertheless, materials / products must be protected from unintended allergen cross-contact by cleaning and change-over practices and/or product sequencing when technically possible. Rework containing allergens shall be used only: _x000d_
a) in products which contain the same allergen by design._x000d_
b) through a process which is demonstrated to remove or destroy the allergenic material. _x000d_
_x000d_
Evidence:_x000d_
* Check records for validation after cleaning and/or a change over is completed_x000d_
* During factory visit :_x000d_
-select a few names of chemicals and request the information to confirm they are food grade, kosher, etc. . as applicable_x000d_
- Check that the chemicals are found in the list of approved chemicals_x000d_
- Check that chemicals are secured to not pose risk of cross contamination _x000d_
- Check that all chemicals are properly identified_x000d_
_x000d_
Pesticide Management Focus._x000d_
_x000d_
-Consider pesticides when auditing the changeover cleaning procedures between materials intended for different export countries and from non-organic to organic materials, where applicable. _x000d_
-Storage &amp; transportation practices must be in place to prevent the risk of mixing materials intended for different country sales.</vt:lpwstr>
  </property>
  <property fmtid="{D5CDD505-2E9C-101B-9397-08002B2CF9AE}" pid="279" name="ETQ_CHECKLIST_QUESTIONS.ETQ_CHECKLIST_QUESTION_COMMENTS#67">
    <vt:lpwstr>      </vt:lpwstr>
  </property>
  <property fmtid="{D5CDD505-2E9C-101B-9397-08002B2CF9AE}" pid="280" name="ETQ_CHECKLIST_QUESTIONS.ETQ_CHECKLIST_QUESTION_HINT#60">
    <vt:lpwstr>Within the lab there is a technical approval process to authorise the result._x000d_
What happens regarding out of specification results and what criteria are used to reject/accept results?_x000d_
Is there evidence of only "good" results being considered ("results picking")? _x000d_
Who is  authorised to approve results that will appear on the final CoA? Are they competent and qualified to do so?</vt:lpwstr>
  </property>
  <property fmtid="{D5CDD505-2E9C-101B-9397-08002B2CF9AE}" pid="281" name="ETQ_CHECKLIST_QUESTIONS.ETQ_CHECKLIST_QUESTION_CLASSIFICATION#16">
    <vt:lpwstr>      </vt:lpwstr>
  </property>
  <property fmtid="{D5CDD505-2E9C-101B-9397-08002B2CF9AE}" pid="282" name="ETQ_CHECKLIST_QUESTIONS.ETQ_CHECKLIST_QUESTION_HINT#27">
    <vt:lpwstr>All raw materials, ingredients and product-contact materials must be described in documents to the extent needed to conduct the hazard analysis, including the following, as appropriate:_x000d_
a) biological, chemical and physical characteristics relevant for food safety;_x000d_
b) composition of formulated ingredients, including additives and processing aids;_x000d_
c) origin;_x000d_
d) method of production;_x000d_
e) packaging and delivery methods;_x000d_
f) storage conditions and shelf life;_x000d_
g) preparation and/or handling before use or processing;_x000d_
h) food safety-related acceptance criteria or specifications of purchased materials and ingredients appropriate to their intended uses._x000d_
_x000d_
_x000d_
_x000d_
Evidence _x000d_
Review Customer, Client and Consumer feedback to verify that product or service integrity is under control._x000d_
Review Product - Materials description part of the HACCP program to ensure meet the requirements listed above</vt:lpwstr>
  </property>
  <property fmtid="{D5CDD505-2E9C-101B-9397-08002B2CF9AE}" pid="283" name="ETQ_CHECKLIST_QUESTIONS.ETQ_CHECKLIST_QUESTION_COMMENTS#15">
    <vt:lpwstr>      </vt:lpwstr>
  </property>
  <property fmtid="{D5CDD505-2E9C-101B-9397-08002B2CF9AE}" pid="284" name="ETQ_CHECKLIST_QUESTIONS.ETQ_CHECKLIST_QUESTION_CLASSIFICATION#7">
    <vt:lpwstr>      </vt:lpwstr>
  </property>
  <property fmtid="{D5CDD505-2E9C-101B-9397-08002B2CF9AE}" pid="285" name="ETQ_CHECKLIST_QUESTIONS.ETQ_CHECKLIST_QUESTION_PREVIOUS_COMMENTS#61">
    <vt:lpwstr>      </vt:lpwstr>
  </property>
  <property fmtid="{D5CDD505-2E9C-101B-9397-08002B2CF9AE}" pid="286" name="ETQ_CHECKLIST_QUESTIONS.ETQ_CHECKLIST_QUESTION_CLASSIFICATION#23">
    <vt:lpwstr>      </vt:lpwstr>
  </property>
  <property fmtid="{D5CDD505-2E9C-101B-9397-08002B2CF9AE}" pid="287" name="ETQ_CHECKLIST_QUESTIONS.ETQ_CHECKLIST_QUESTION_COMMENTS#41">
    <vt:lpwstr>      </vt:lpwstr>
  </property>
  <property fmtid="{D5CDD505-2E9C-101B-9397-08002B2CF9AE}" pid="288" name="ETQ_CHECKLIST_QUESTIONS.ETQ_CHECKLIST_QUESTION_CLASSIFICATION#58">
    <vt:lpwstr>      </vt:lpwstr>
  </property>
  <property fmtid="{D5CDD505-2E9C-101B-9397-08002B2CF9AE}" pid="289" name="ETQ_CHECKLIST_QUESTIONS.ETQ_CHECKLIST_QUESTION_QUESTION#30">
    <vt:lpwstr>Hazard Identification_x000d_
_x000d_
All the food safety hazards that can reasonably occur have been identified.</vt:lpwstr>
  </property>
  <property fmtid="{D5CDD505-2E9C-101B-9397-08002B2CF9AE}" pid="290" name="ETQ_CHECKLIST_QUESTIONS.ETQ_CHECKLIST_QUESTION_COMMENTS#34">
    <vt:lpwstr>      </vt:lpwstr>
  </property>
  <property fmtid="{D5CDD505-2E9C-101B-9397-08002B2CF9AE}" pid="291" name="ETQ_CHECKLIST_QUESTIONS.ETQ_CHECKLIST_QUESTION_HINT#1">
    <vt:lpwstr>Management is aware of the importance of the Q&amp;FS system, understands the relevant Q&amp;FS issues and communicates its commitment through a Q&amp;FS policy.  Demonstration of quality leadership and accountability is an indicator of the health of the organisations quality culture and fit with Mars._x000d_
_x000d_
Evidence:-_x000d_
* Communication of the Quality policy, _x000d_
* Resources (budget, people, equipment) are in place as needed._x000d_
* Senior management attendance at management reviews and quality meetings and management review is guided by the Quality Policy ,_x000d_
* Q&amp;FS policy is available , and communicated (e.g. displayed on notice boards). * The company's vision and mission are clearly expressed sand understood by all employees._x000d_
* Look for examples of how the policy supports meeting customer &amp; regulatory requirements and how it is used in decision making. e.g.  Internal communication of KPIs (internal reports, notice boards).   _x000d_
* specific quality focused objectives and KPI's; e.g.: reduction in customer/supplier complaints, Training on quality topics.    _x000d_
* Actions that are assigned to Management Team are closed._x000d_
* Management Review and Quality Meetings actions are closed and reviewed in these forums..</vt:lpwstr>
  </property>
  <property fmtid="{D5CDD505-2E9C-101B-9397-08002B2CF9AE}" pid="292" name="ETQ_CHECKLIST_QUESTIONS.ETQ_CHECKLIST_QUESTION_PREVIOUS_COMMENTS#7">
    <vt:lpwstr>      </vt:lpwstr>
  </property>
  <property fmtid="{D5CDD505-2E9C-101B-9397-08002B2CF9AE}" pid="293" name="ETQ_CHECKLIST_QUESTIONS.ETQ_CHECKLIST_QUESTION_CLASSIFICATION#52">
    <vt:lpwstr>      </vt:lpwstr>
  </property>
  <property fmtid="{D5CDD505-2E9C-101B-9397-08002B2CF9AE}" pid="294" name="ETQ_CHECKLIST_DOCUMENT.AM_CD_ELEMENT_D#9">
    <vt:lpwstr>QMPv3 9.4.1.4 Resources for Monitoring and Measuring</vt:lpwstr>
  </property>
  <property fmtid="{D5CDD505-2E9C-101B-9397-08002B2CF9AE}" pid="295" name="ETQ_CHECKLIST_QUESTIONS.ETQ_CHECKLIST_QUESTION_QUESTION#52">
    <vt:lpwstr>Storage and transportation_x000d_
_x000d_
Materials and products are stored and transported in hygienic conditions suitable for the material.</vt:lpwstr>
  </property>
  <property fmtid="{D5CDD505-2E9C-101B-9397-08002B2CF9AE}" pid="296" name="ETQ_CHECKLIST_QUESTIONS.ETQ_CHECKLIST_QUESTION_COMMENTS#30">
    <vt:lpwstr>      </vt:lpwstr>
  </property>
  <property fmtid="{D5CDD505-2E9C-101B-9397-08002B2CF9AE}" pid="297" name="ETQ_CHECKLIST_DOCUMENT.ETQ_AUDITS_CHECKLIST_NAME#66">
    <vt:lpwstr>ACT</vt:lpwstr>
  </property>
  <property fmtid="{D5CDD505-2E9C-101B-9397-08002B2CF9AE}" pid="298" name="ETQ_CHECKLIST_QUESTIONS.ETQ_CHECKLIST_QUESTION_COMMENTS#56">
    <vt:lpwstr>      </vt:lpwstr>
  </property>
  <property fmtid="{D5CDD505-2E9C-101B-9397-08002B2CF9AE}" pid="299" name="ETQ_CHECKLIST_QUESTIONS.ETQ_CHECKLIST_QUESTION_HINT#18">
    <vt:lpwstr>Mars property must be identified, protected and safeguarded.  It must be verified as safe and present when provided for use or incorporated into the material /product._x000d_
A process for the recording and reporting of Mars property that is damaged, unsuitable for use or lost is required._x000d_
Mars property includes Mars intellectual property and Mars personnel data and Mars ingredients_x000d_
information e.g. Mars specifications are available on site, but protected to ensure no potential of editing and are not openly posted in any processing/lab areas._x000d_
_x000d_
Evidence:-_x000d_
* Mars specifications and other Mars documents.  , and review who has access, how are those distributed._x000d_
* Check if any Mars Technology is with the supplier.  Confirm that controls are in place._x000d_
* Are Mars ingredients used and safeguarded.</vt:lpwstr>
  </property>
  <property fmtid="{D5CDD505-2E9C-101B-9397-08002B2CF9AE}" pid="300" name="ETQ_CHECKLIST_QUESTIONS.ETQ_CHECKLIST_QUESTION_HINT#37">
    <vt:lpwstr>The supplier must prove that the control measures have been validated  to ensure (capability &amp; effectiveness) before they start production of safe product._x000d_
_x000d_
Different methodologies can be appropriate for each case: scientific or technical literature, previous validation studies or historical knowledge of the performance of the control measure, scientifically valid experimental data, collection of data during operation of the entire food production process, statistical surveys, mathematical modelling. _x000d_
_x000d_
There may be processes defined in regulatory documents or officially validated guides. _x000d_
_x000d_
For well-established processes (time and temperature for milk pasteurisation), it may be sufficient to gather data on the conditions or attributes specific to the operation._x000d_
_x000d_
If the internal expertise for performing validation doesn't exist at the supplier, external expertise should be sourced._x000d_
_x000d_
Validation must be re-established after changes._x000d_
_x000d_
Evidence:-_x000d_
* Check the validation evidence available for the control measures for the CCPs and OPRPs, and any significant hazards on the MRA/PRA/EMPRA._x000d_
* If validation is based in regulation, scientific study, etc. Review the record is available and is applicable for the ingredient or product purchased by Mars</vt:lpwstr>
  </property>
  <property fmtid="{D5CDD505-2E9C-101B-9397-08002B2CF9AE}" pid="301" name="ETQ_CHECKLIST_QUESTIONS.ETQ_CHECKLIST_QUESTION_COMMENTS#63">
    <vt:lpwstr>      </vt:lpwstr>
  </property>
  <property fmtid="{D5CDD505-2E9C-101B-9397-08002B2CF9AE}" pid="302" name="ETQ_CHECKLIST_QUESTIONS.ETQ_CHECKLIST_QUESTION_QUESTION#16">
    <vt:lpwstr>Supplier Quality Management Program - Risk based program_x000d_
_x000d_
High risk and critical/important goods and services are risk assessed and included in a supplier quality program.</vt:lpwstr>
  </property>
  <property fmtid="{D5CDD505-2E9C-101B-9397-08002B2CF9AE}" pid="303" name="ETQ_CHECKLIST_DOCUMENT.AM_CD_ELEMENT_D#4">
    <vt:lpwstr>QMPv3 9.3.1.3 Specific Risks for Food Production incl QMP 11.1..1 Food Defense Threat assessment</vt:lpwstr>
  </property>
  <property fmtid="{D5CDD505-2E9C-101B-9397-08002B2CF9AE}" pid="304" name="ETQ_CHECKLIST_QUESTIONS.ETQ_CHECKLIST_QUESTION_CLASSIFICATION#3">
    <vt:lpwstr>      </vt:lpwstr>
  </property>
  <property fmtid="{D5CDD505-2E9C-101B-9397-08002B2CF9AE}" pid="305" name="ETQ_CHECKLIST_DOCUMENT.AM_CD_ELEMENT_D#7">
    <vt:lpwstr>QMPv3 9.4.1 Resources</vt:lpwstr>
  </property>
  <property fmtid="{D5CDD505-2E9C-101B-9397-08002B2CF9AE}" pid="306" name="OI$DOCKEY">
    <vt:lpwstr>ETQ$APPLICATION_NAME=ETQ_AUDITS&amp;ETQ$FORM_NAME=ETQ_AUDITS_AUDIT_DOCUMENT&amp;ETQ$KEY_NAME=AUDIT_DOCUMENT_ID&amp;ETQ$KEY_VALUE=17973</vt:lpwstr>
  </property>
  <property fmtid="{D5CDD505-2E9C-101B-9397-08002B2CF9AE}" pid="307" name="ETQ_CHECKLIST_QUESTIONS.ETQ_CHECKLIST_QUESTION_CLASSIFICATION#6">
    <vt:lpwstr>      </vt:lpwstr>
  </property>
  <property fmtid="{D5CDD505-2E9C-101B-9397-08002B2CF9AE}" pid="308" name="ETQ_CHECKLIST_QUESTIONS.ETQ_CHECKLIST_QUESTION_COMMENTS#40">
    <vt:lpwstr>      </vt:lpwstr>
  </property>
  <property fmtid="{D5CDD505-2E9C-101B-9397-08002B2CF9AE}" pid="309" name="ETQ_CHECKLIST_QUESTIONS.ETQ_CHECKLIST_QUESTION_QUESTION#4">
    <vt:lpwstr>Food Defense_x000d_
A food defence program is in place to prevent potential acts of sabotage, vandalism or terrorism.</vt:lpwstr>
  </property>
  <property fmtid="{D5CDD505-2E9C-101B-9397-08002B2CF9AE}" pid="310" name="ETQ_CHECKLIST_QUESTIONS.ETQ_CHECKLIST_QUESTION_CLASSIFICATION#20">
    <vt:lpwstr>      </vt:lpwstr>
  </property>
  <property fmtid="{D5CDD505-2E9C-101B-9397-08002B2CF9AE}" pid="311" name="ETQ_CHECKLIST_QUESTIONS.ETQ_CHECKLIST_QUESTION_HINT#38">
    <vt:lpwstr>Planned regular reviews of the food safety management programme should be conducted to ensure it is continually adequate based on data from verification activities, the result of the management review or external information._x000d_
Additionally, internal communication channels should exist to ensure that the programme is reviewed when there is a change that impacts food safety. _x000d_
Records of the reviews &amp; updates must be maintained._x000d_
_x000d_
Evidence:-_x000d_
* Regular planned reviews must take place of the FSMS, with documented inputs to the meetings, and actions following the meeting._x000d_
* The food safety hazard analysis should have a list of triggers that would require a review e.g. new Ingredient, new destination market, significant changes to equipment, changes to legislation, new shift pattern, etc. There must be evidence that there are communication routes in place to trigger a review of the FSMS. Follow through an example (e.g. if a new line has been installed, if legislation has recently changed) to check how this has been communicated and assessed. _x000d_
* All updates to the FSMS must be documented.</vt:lpwstr>
  </property>
  <property fmtid="{D5CDD505-2E9C-101B-9397-08002B2CF9AE}" pid="312" name="ETQ_CHECKLIST_DOCUMENT.AM_CD_ELEMENT_D#39">
    <vt:lpwstr>GMP 01.1 Construction and Layout of Buildings - General Requirements</vt:lpwstr>
  </property>
  <property fmtid="{D5CDD505-2E9C-101B-9397-08002B2CF9AE}" pid="313" name="ETQ_CHECKLIST_QUESTIONS.ETQ_CHECKLIST_QUESTION_PREVIOUS_COMMENTS#63">
    <vt:lpwstr>      </vt:lpwstr>
  </property>
  <property fmtid="{D5CDD505-2E9C-101B-9397-08002B2CF9AE}" pid="314" name="ETQ_CHECKLIST_QUESTIONS.ETQ_CHECKLIST_QUESTION_QUESTION#13">
    <vt:lpwstr>Process capability : Controls and validation_x000d_
The process has been developed to meet customer requirements and is validated to control the defined risks</vt:lpwstr>
  </property>
  <property fmtid="{D5CDD505-2E9C-101B-9397-08002B2CF9AE}" pid="315" name="ETQ_CHECKLIST_QUESTIONS.ETQ_CHECKLIST_QUESTION_HINT#42">
    <vt:lpwstr>1. Containers for waste and inedible or hazardous substances:_x000d_
Containers for waste and inedible or hazardous substances shall be clearly identified for their purpose, located in a designated area; made of materials which can be readily cleaned and sanitized; closed when not in immediate use and locked where the waste may pose a risk to the product._x000d_
Evidence_x000d_
During  visit_x000d_
*Check that waste containers are clearly identified. Labels from previous usage shall be  fully removed_x000d_
*No overflow waste containers are observed_x000d_
*Check that waste containers are in good condition, with no leaks that could contaminate during transfer to main collector _x000d_
2. Waste management and removal:_x000d_
Provision shall be made for the segregation, storage and removal of waste. Accumulation of waste shall not be allowed in food-handling or storage areas. Removal frequencies shall be managed to avoid accumulations, with a minimum daily removal. Labelled materials, products or printed packaging designated as waste shall be disfigured or destroyed to ensure that trademarks cannot be reused. Removal and destruction shall be carried out by approved disposal contractors. The organization shall retain records of destruction._x000d_
Evidence_x000d_
*Check that contractors removing solid waste, carboard box, inedible and any other type are listed in the approved supplier list_x000d_
*Check records for product destruction _x000d_
During factory visit_x000d_
*Check compactor area - container is enclosed. Area is keep with good housekeeping _x000d_
3. Drains and drainage_x000d_
Drains shall be designed, constructed and located so that the risk of contamination of materials or products is avoided. Drains shall have capacity sufficient to remove expected flow loads. Drains shall not pass over processing lines. Drainage direction shall not flow from a contaminated area to a clean area._x000d_
Evidence_x000d_
During factory visit_x000d_
*Check that drains do not back up. Floor surrounding the drains are in good condition and does not allow standing water and harborage of soil and debris."</vt:lpwstr>
  </property>
  <property fmtid="{D5CDD505-2E9C-101B-9397-08002B2CF9AE}" pid="316" name="ETQ_CHECKLIST_QUESTIONS.ETQ_CHECKLIST_QUESTION_CLASSIFICATION#17">
    <vt:lpwstr>      </vt:lpwstr>
  </property>
  <property fmtid="{D5CDD505-2E9C-101B-9397-08002B2CF9AE}" pid="317" name="ETQ_CHECKLIST_DOCUMENT.ETQ_AUDITS_CHECKLIST_NAME#3">
    <vt:lpwstr>PLAN</vt:lpwstr>
  </property>
  <property fmtid="{D5CDD505-2E9C-101B-9397-08002B2CF9AE}" pid="318" name="ETQ_CHECKLIST_DOCUMENT.AM_CD_ELEMENT_D#44">
    <vt:lpwstr>GMP 07.2 Measures for Prevention of Cross Contamination - Microbiological Cross Contamination</vt:lpwstr>
  </property>
  <property fmtid="{D5CDD505-2E9C-101B-9397-08002B2CF9AE}" pid="319" name="ETQ_CHECKLIST_QUESTIONS.ETQ_CHECKLIST_QUESTION_PREVIOUS_COMMENTS#17">
    <vt:lpwstr>      </vt:lpwstr>
  </property>
  <property fmtid="{D5CDD505-2E9C-101B-9397-08002B2CF9AE}" pid="320" name="ETQ_CHECKLIST_DOCUMENT.AM_CD_ELEMENT_D#57">
    <vt:lpwstr>MQM 3.2.1. Acceptable Laboratory Data - Calibration (Measurement Traceability)</vt:lpwstr>
  </property>
  <property fmtid="{D5CDD505-2E9C-101B-9397-08002B2CF9AE}" pid="321" name="ETQ_CHECKLIST_QUESTIONS.ETQ_CHECKLIST_QUESTION_HINT#39">
    <vt:lpwstr>The premises should be maintained in good order (no peeling paint, broken floors etc.) fully proofed against adverse weather and allow access for cleaning._x000d_
_x000d_
Environment: the supplier should have considered any potential sources of contamination from the local environment.  (e.g. water supply, air supply)_x000d_
_x000d_
Food production cannot be carried out in areas where potentially harmful substances could enter the product. The effectiveness of measures taken to protect against potential contaminants should be periodically reviewed._x000d_
_x000d_
Location: the site boundaries should be clearly identified. Access to the site should be controlled. _x000d_
_x000d_
External vegetation should be tended or removed to prevent harbouring of pests._x000d_
_x000d_
Evidence:_x000d_
During walk thought the facility review any potential of risk for cross contamination such as: _x000d_
*Foreign Material  (peeling paint, rust, condensations, damaged walls, tarps)_x000d_
*Cross contamination: (condensation)_x000d_
*Perimeter walk (perimeter is secured and clearly identified, access is controlled, items stored against wall, product store outside, pallets stored outside, birds presence, dumpsters are enclosed and area is clean, no standing water, external openings are screened, grass is kept in good condition, adjacent properties, creeks or rivers)_x000d_
*Roof inspection (roof is clean, no standing water is observed, equipment looks in good conditions, air vents are screened)_x000d_
* A significant number of GMP/GHP findings may indicate an issue in this area. Likewise, check internal GMP/GHP inspections, late CAPAs associated with infrastructure to look for potential areas of concern</vt:lpwstr>
  </property>
  <property fmtid="{D5CDD505-2E9C-101B-9397-08002B2CF9AE}" pid="322" name="ETQ_CHECKLIST_QUESTIONS.ETQ_CHECKLIST_QUESTION_HINT#16">
    <vt:lpwstr>There is a supplier quality program that considers all purchased materials and services covering:_x000d_
 - Materials and packaging intended to be incorporated into products_x000d_
 - Materials used for the delivery of products &amp; services_x000d_
 - Products and services provided by external suppliers  (e.g. pest control, cleaning and sanitation, transport , storage, waste management, co-manufacturing, licensing, sub-contracting of services such as laboratory analysis, scientific, training, calibration services, temporary employees, consultant or consumer research)_x000d_
 - Processes, or part of a process, provided by an external supplier on behalf of the supplier._x000d_
High risk and critical/important goods and services undergo a risk assessment where specific risks are defined and mitigation activities are put in place to ensure intended quality is achieved.   The SQM process is ongoing with new materials and services continually evaluated as they are considered.   _x000d_
The SQM program achieves equivalence to Mars MQM/PQM/DQM._x000d_
* Critical/important = key ingredients / significant volumes / highest risk / strategically sensitive_x000d_
_x000d_
Evidence :-_x000d_
* Supplier approval process_x000d_
* list of high risk and important/critical goods and services purchased with risk level._x000d_
* that risk level is linked to the supplier qualification and ongoing verification._x000d_
* the relevance and quality of the SQM program elements, including Risk Assessments. _x000d_
* Review of performance data in supplier reviews for key suppliers or badly performing suppliers._x000d_
_x000d_
Pesticides Management Focus:_x000d_
The Supplier's Pesticide Risk Assessment should consider factors such as:_x000d_
_x000d_
a) Sourcing Models: Integrated Farming, District Markets, Hybrid, or Other._x000d_
b) Origin variability: Countries of Harvest (CoH), Growing Regions, and Standardization._x000d_
c) Number of harvest per year (crops from different harvest could be treated differently)._x000d_
d) Historical data, Official alerts._x000d_
e) Upstream Supplier Controls:_x000d_
 -GAP (or equivalent) certification or similar pesticide control practices from farmers._x000d_
 -Information on IPM methods at farms to rationalize chemical usage. Review Agronomy Report, if available._x000d_
 -Adherence to Approved Plant Protection Products list and residue regulations from relevant countries. Review seed distributor documents, field technicians' records, farmers' books and testing results._x000d_
 -Provision of Pesticide Application Guidelines or monitoring of Upstream Supplier/Farmer's Pesticide Control Program. Review relevant documentation, including chemical application instructions, authenticity records, approved chemical lists, calibration records, mapping records, and training records._x000d_
 -Ensuring chemical authenticity_x000d_
 -Traceability and Spray Diary keeping with chemical details, application dates, dosages, and locations._x000d_
 -Implementation of a program to assess pesticide risks from various sources like water, runoff, seed treatment, previous land use, and spray drift from nearby crops. Review available testing._x000d_
  -Calibration of the Equipment used in Chemical Application_x000d_
  -Training Program for farmers and their employees.</vt:lpwstr>
  </property>
  <property fmtid="{D5CDD505-2E9C-101B-9397-08002B2CF9AE}" pid="323" name="ETQ_CHECKLIST_QUESTIONS.ETQ_CHECKLIST_QUESTION_COMMENTS#10">
    <vt:lpwstr>      </vt:lpwstr>
  </property>
  <property fmtid="{D5CDD505-2E9C-101B-9397-08002B2CF9AE}" pid="324" name="ETQ_CHECKLIST_DOCUMENT.AM_CD_ELEMENT_D#25">
    <vt:lpwstr>Trace 1.8 Vendor Management - Product identity &amp; Claim management</vt:lpwstr>
  </property>
  <property fmtid="{D5CDD505-2E9C-101B-9397-08002B2CF9AE}" pid="325" name="ETQ_CHECKLIST_QUESTIONS.ETQ_CHECKLIST_QUESTION_CLASSIFICATION#46">
    <vt:lpwstr>      </vt:lpwstr>
  </property>
  <property fmtid="{D5CDD505-2E9C-101B-9397-08002B2CF9AE}" pid="326" name="ETQ_CHECKLIST_QUESTIONS.ETQ_CHECKLIST_QUESTION_HINT#48">
    <vt:lpwstr>Pest control programme should include:-_x000d_
* A nominated person to manage pest control activities and/or deal with outsourced experts. _x000d_
* A documented pest control programme including identified target pests, plans, methods, schedules, control procedures and, if necessary, training requirements._x000d_
* A list of chemicals which are approved for use in specified areas of the establishment._x000d_
* A callout procedure to manage infestation to include eradication of the pests, root cause analysis and identification of actions needed to prevent reoccurrence. Records must be kept of the visit, immediate actions taken and preventative actions agreed. Pesticides must only be used by trained operatives and in a controlled manner. Records including: targeted pest, type, quantity and concentration of pesticide, where, when and how applied, have to be kept._x000d_
* A map showing the detectors and traps. The locations must be suited to the plant layout and sufficient to identify pest activity. Both detectors and traps must _x000d_
a) be designed and located to prevent contamination of product and facilities (i.e. insectocutors must not be directly over production lines or stored products)._x000d_
b) be robust, tamper-resistant and appropriate for the targeted pest._x000d_
* Inspections of the detectors and traps at a specified frequency with documented visit reports._x000d_
* Inspection records must be used to identify trends._x000d_
* External vegetation must be kept controlled to minimise risk of harbouring pests_x000d_
* Doors and windows must be screened and closed automatically where possible to prevent entry of pests._x000d_
* Where outside space is used for storage, the items must be protected from weather or pest damage (e.g. bird droppings)._x000d_
_x000d_
Evidence:_x000d_
*Check Pest control program is documented and includes who manages the program, description, targets, frequency_x000d_
* Request a random pest control report _x000d_
* Review trends and type of activity and confirm that Corrective actions are completed in timely matter and documented _x000d_
During factory visit_x000d_
* Check map accuracy:  take the pest control map and confirm location of some pest control devices _x000d_
* Check perimeters for harborage / pest, open doors in cabinets in the cafeteria seeking absence of pest activity_x000d_
* Check gaps-openings on doors, dock doors, walls, ceiling</vt:lpwstr>
  </property>
  <property fmtid="{D5CDD505-2E9C-101B-9397-08002B2CF9AE}" pid="327" name="ETQ_CHECKLIST_DOCUMENT.AM_CD_ELEMENT_D#64">
    <vt:lpwstr>QMPv3 9.6.2 Monitoring, Measurement, Analysis and Evaluation</vt:lpwstr>
  </property>
  <property fmtid="{D5CDD505-2E9C-101B-9397-08002B2CF9AE}" pid="328" name="ETQ_CHECKLIST_QUESTIONS.ETQ_CHECKLIST_QUESTION_COMMENTS#35">
    <vt:lpwstr>      </vt:lpwstr>
  </property>
  <property fmtid="{D5CDD505-2E9C-101B-9397-08002B2CF9AE}" pid="329" name="ETQ_CHECKLIST_QUESTIONS.ETQ_CHECKLIST_QUESTION_PREVIOUS_COMMENTS#57">
    <vt:lpwstr>      </vt:lpwstr>
  </property>
  <property fmtid="{D5CDD505-2E9C-101B-9397-08002B2CF9AE}" pid="330" name="ETQ_CHECKLIST_QUESTIONS.ETQ_CHECKLIST_QUESTION_HINT#41">
    <vt:lpwstr>Utilities (i.e. Water, Air, Energy) in place must be assessed for the following where appropriate for the food industry._x000d_
1. Water supply: Facilities for storage, distribution and, where needed, temperature control of the water have to meet specified water quality requirements and sufficient for production needs.  Water for: a) direct use as ingredient, ice or steam or in contact with product surfaces; b) with risk of indirect contact with product or product contact surfaces (cleaning, jacketed vessels, heat exchangers) must meet specified quality and microbiological requirements. Chlorine levels for chlorinated water systems must be checked at the point of use. Non-potable water must have a separate and labelled supply system not connected to the potable water one and  preventing non-potable water refluxing into the potable system._x000d_
*Check Back flow preventors are installed, _x000d_
*Check test defined for ice, water, compressed air, air is completed as defined in the risk assessment and that CA are implemented. _x000d_
*Check if supplier uses potable and non potable water, if used during facility visit look that lines are clearly identified_x000d_
*Check records for verification of water quality._x000d_
2. Boiler chemicals:  if used, shall be a) approved food additives which meet relevant additive specifications; or b) additives which have been approved by the relevant regulatory authority as safe for use in water intended for human consumption._x000d_
_x000d_
*Check that chemicals used in the boiler room are segregated, secured and no comingle with chemicals used in production _x000d_
*Check chemicals  are included in the list of approved chemicals and that Material Safety Data sheets are available_x000d_
3. Air quality and ventilation: air used as an ingredient or for direct product contact has to be controlled (filtration, humidity (RH%) and microbiology). Temperature and/or humidity must be controlled and monitored when deemed critical. Ventilation (natural or mechanical) shall be enough to remove unwanted steam, dust and odors, and to facilitate drying after wet cleaning. Room air supply quality has to be controlled to minimize risk from airborne microbiological contamination. Protocols for air quality monitoring and control shall be established in areas where products which support the growth or survival of microorganisms are exposed. Ventilation systems shall be designed and constructed such that air does not flow from contaminated or raw areas to clean areas. Specified air pressure differentials shall be maintained. Systems shall be accessible for cleaning, filter changing and maintenance. Exterior air intake ports shall be examined periodically for physical integrity._x000d_
*Check  air intake port inspection records _x000d_
*Check PM program for filters and compressed air, check that is done in the established frequency._x000d_
_x000d_
4. Compressed air and other gases( Co2,N2 other gas systems)used in manufacturing and/or filling shall be constructed and maintained so as to prevent contamination. Gases intended for direct or incidental product contact (including those used for transporting, blowing or drying materials, products or equipment) shall be from an approved source for food contact use, filtered to remove dust, oil and water. Where oil is used for compressors and there is potential for the air to come into contact with the product, the oil used shall be food grade. Requirements for filtration, humidity (RH%) and microbiology shall be specified. Filtration of the air should be as close to the point of use as is practicable._x000d_
*Check controls in place to eliminate any contaminant  at point of use e.g. oil, humidity_x000d_
*Check records that validate these does not pose any risk to the process and/or product_x000d_
5. Lighting: Evidence: lighting provided (natural/ artificial) allows personnel to operate in a hygienic manner., intensity of the lighting is appropriate to the nature of the operation. Light fixtures shall be protected to prevent contaminated in the case of breakages. </vt:lpwstr>
  </property>
  <property fmtid="{D5CDD505-2E9C-101B-9397-08002B2CF9AE}" pid="331" name="ETQ_CHECKLIST_QUESTIONS.ETQ_CHECKLIST_QUESTION_HINT#6">
    <vt:lpwstr>Q&amp;FS objectives have been defined based on analysis of historic data, and are formally agreed within the business. The Q&amp;FS objectives (aligned with Q&amp;FS policy ,  legislation &amp; customer requirements)  should clearly and accurately reflect the businesses intent and commitment over a specific time frame (SMART).  _x000d_
_x000d_
Check  that plans are in  place with adequate resources to achieve these objectives _x000d_
_x000d_
Follow a potential trail to explore is how does the team respond to metrics that are below target.  _x000d_
Seek to understand if CAPAs are raised and followed up in CAPA._x000d_
_x000d_
Some examples of evidence:- _x000d_
* Documented objectives with targets and timings (SMART), These must be chosen based on analysis of quality data ,( reduction of customer complaints, reduction of internal quality non conformances) and signed off by senior management._x000d_
 Objectives have been committed by management &amp; documented _x000d_
_x000d_
* Use of internal metrics for measurement of quality (waste, held product and semi finished product, internal quality performance on line and laboratory data) not only customer complaints _x000d_
_x000d_
* Project teams identified and documented project plans in place to achieve the targets with adequate resources._x000d_
_x000d_
* Evidence of internal communication on key projects (notice boards, emails,)_x000d_
_x000d_
* Ask member(s) of the management team if they know the Q&amp;FS objectives and why they were constructed.</vt:lpwstr>
  </property>
  <property fmtid="{D5CDD505-2E9C-101B-9397-08002B2CF9AE}" pid="332" name="ETQ_CHECKLIST_QUESTIONS.ETQ_CHECKLIST_QUESTION_COMMENTS#26">
    <vt:lpwstr>      </vt:lpwstr>
  </property>
  <property fmtid="{D5CDD505-2E9C-101B-9397-08002B2CF9AE}" pid="333" name="ETQ_CHECKLIST_QUESTIONS.ETQ_CHECKLIST_QUESTION_QUESTION#35">
    <vt:lpwstr>Monitoring of Critical Control Points_x000d_
_x000d_
A monitoring system must be established for each CCP to demonstrate it is in control</vt:lpwstr>
  </property>
  <property fmtid="{D5CDD505-2E9C-101B-9397-08002B2CF9AE}" pid="334" name="ETQ_CHECKLIST_QUESTIONS.ETQ_CHECKLIST_QUESTION_PREVIOUS_COMMENTS#25">
    <vt:lpwstr>      </vt:lpwstr>
  </property>
  <property fmtid="{D5CDD505-2E9C-101B-9397-08002B2CF9AE}" pid="335" name="ETQ_CHECKLIST_QUESTIONS.ETQ_CHECKLIST_QUESTION_HINT#58">
    <vt:lpwstr>Records are maintained at all stages of the process to ensure traceability of who did what, when, where and how. _x000d_
Written records will be in permanent ink; spreadsheets or other electronic records will be protected where necessary._x000d_
Any amendments will be authorised and/or traceable. _x000d_
From a selected CoA check this process and that the CoA  results match the lab records (raw data) - look for transcription errors._x000d_
Raw data records are available and match the results reported on COA/COC</vt:lpwstr>
  </property>
  <property fmtid="{D5CDD505-2E9C-101B-9397-08002B2CF9AE}" pid="336" name="ETQ_CHECKLIST_QUESTIONS.ETQ_CHECKLIST_QUESTION_CLASSIFICATION#61">
    <vt:lpwstr>      </vt:lpwstr>
  </property>
  <property fmtid="{D5CDD505-2E9C-101B-9397-08002B2CF9AE}" pid="337" name="ETQ_CHECKLIST_QUESTIONS.ETQ_CHECKLIST_QUESTION_HINT#24">
    <vt:lpwstr>Each batch products must be identified to enable complete traceability of all material. _x000d_
Evidence :Visually confirm that materials  /product at the supplier are uniquely numbered  in a way that identifies each lot and allows traceability."</vt:lpwstr>
  </property>
  <property fmtid="{D5CDD505-2E9C-101B-9397-08002B2CF9AE}" pid="338" name="ETQ_CHECKLIST_DOCUMENT.AM_CD_ELEMENT_D#47">
    <vt:lpwstr>GMP 08.1 Cleaning and Sanitizing - General Requirements</vt:lpwstr>
  </property>
  <property fmtid="{D5CDD505-2E9C-101B-9397-08002B2CF9AE}" pid="339" name="ETQ_CHECKLIST_QUESTIONS.ETQ_CHECKLIST_QUESTION_CLASSIFICATION#32">
    <vt:lpwstr>      </vt:lpwstr>
  </property>
  <property fmtid="{D5CDD505-2E9C-101B-9397-08002B2CF9AE}" pid="340" name="ETQ_CHECKLIST_QUESTIONS.ETQ_CHECKLIST_QUESTION_PREVIOUS_COMMENTS#6">
    <vt:lpwstr>      </vt:lpwstr>
  </property>
  <property fmtid="{D5CDD505-2E9C-101B-9397-08002B2CF9AE}" pid="341" name="ETQ_CHECKLIST_QUESTIONS.ETQ_CHECKLIST_QUESTION_PREVIOUS_COMMENTS#20">
    <vt:lpwstr>      </vt:lpwstr>
  </property>
  <property fmtid="{D5CDD505-2E9C-101B-9397-08002B2CF9AE}" pid="342" name="ETQ_CHECKLIST_QUESTIONS.ETQ_CHECKLIST_QUESTION_PREVIOUS_COMMENTS#11">
    <vt:lpwstr>      </vt:lpwstr>
  </property>
  <property fmtid="{D5CDD505-2E9C-101B-9397-08002B2CF9AE}" pid="343" name="ETQ_CHECKLIST_DOCUMENT.AM_CD_ELEMENT_D#5">
    <vt:lpwstr>QMPv3 9.3.1.3 Specific Risks for Food Production incl QMP 11.1.2 Food Fraud Vulnerability Assessment</vt:lpwstr>
  </property>
  <property fmtid="{D5CDD505-2E9C-101B-9397-08002B2CF9AE}" pid="344" name="ETQ_CHECKLIST_QUESTIONS.ETQ_CHECKLIST_QUESTION_HINT#35">
    <vt:lpwstr>Ensure that there are planned sequence of observations or measurement being taken to assess whether control measures are operating as intended. _x000d_
A monitoring system must be established and maintained for each control to demonstrate that the control is working to achieve planned results. The system must include all scheduled/planned measurements, observations or analysis of the results relative to the critical limit(s) established._x000d_
_x000d_
The monitoring system must consist of relevant procedures, instructions and records that cover the following:_x000d_
a) Measurements or observations that provide results within an adequate time frame;_x000d_
b) Monitoring devices used;_x000d_
c) Applicable calibration methods;_x000d_
d) Monitoring frequency;_x000d_
e) Responsibility and authority related to monitoring and evaluation of monitoring results;_x000d_
f) Record requirements and methods;_x000d_
_x000d_
The monitoring methods and frequency must be capable of determining when the critical limits have been exceeded in time for the product to be isolated before it is used or consumed._x000d_
_x000d_
_x000d_
Evidence_x000d_
The results of the monitoring must be documented at the defined frequency (dated and signed by the operator(s)). These results must be available at shift handover at the operator and shift manager level and confirmed by both shifts as having been appropriately communicated. Records of deviations that have occurred and corrective actions taken must be maintained by the operator._x000d_
_x000d_
The monitoring device must be physically identified._x000d_
_x000d_
Evidence_x000d_
The results of the monitoring must be documented at the defined frequency (dated and signed by the operator(s)). These results must be available at shift handover at the operator and shift manager level and confirmed by both shifts as having been appropriately communicated. Records of deviations that have occurred and corrective actions taken must be maintained by the operator._x000d_
_x000d_
The monitoring device must be physically identified.</vt:lpwstr>
  </property>
  <property fmtid="{D5CDD505-2E9C-101B-9397-08002B2CF9AE}" pid="345" name="ETQ_CHECKLIST_QUESTIONS.ETQ_CHECKLIST_QUESTION_CLASSIFICATION#67">
    <vt:lpwstr>      </vt:lpwstr>
  </property>
  <property fmtid="{D5CDD505-2E9C-101B-9397-08002B2CF9AE}" pid="346" name="ETQ_CHECKLIST_QUESTIONS.ETQ_CHECKLIST_QUESTION_PREVIOUS_COMMENTS#64">
    <vt:lpwstr>      </vt:lpwstr>
  </property>
  <property fmtid="{D5CDD505-2E9C-101B-9397-08002B2CF9AE}" pid="347" name="ETQ_CHECKLIST_QUESTIONS.ETQ_CHECKLIST_QUESTION_QUESTION#64">
    <vt:lpwstr>Q&amp;FS System monitoring_x000d_
_x000d_
Q&amp;FS monitoring data is analysed to understand system effectiveness and  continuous improvements</vt:lpwstr>
  </property>
  <property fmtid="{D5CDD505-2E9C-101B-9397-08002B2CF9AE}" pid="348" name="ETQ_CHECKLIST_QUESTIONS.ETQ_CHECKLIST_QUESTION_PREVIOUS_COMMENTS#37">
    <vt:lpwstr>      </vt:lpwstr>
  </property>
  <property fmtid="{D5CDD505-2E9C-101B-9397-08002B2CF9AE}" pid="349" name="ETQ_CHECKLIST_QUESTIONS.ETQ_CHECKLIST_QUESTION_PREVIOUS_COMMENTS#13">
    <vt:lpwstr>      </vt:lpwstr>
  </property>
  <property fmtid="{D5CDD505-2E9C-101B-9397-08002B2CF9AE}" pid="350" name="ETQ_CHECKLIST_QUESTIONS.ETQ_CHECKLIST_QUESTION_QUESTION#23">
    <vt:lpwstr>Time bound Product Traceability_x000d_
_x000d_
A time bound traceability system is in place that enables the identification of production lots and the relationship to the materials  used to produce them.</vt:lpwstr>
  </property>
  <property fmtid="{D5CDD505-2E9C-101B-9397-08002B2CF9AE}" pid="351" name="ETQ_CHECKLIST_QUESTIONS.ETQ_CHECKLIST_QUESTION_COMMENTS#12">
    <vt:lpwstr>      </vt:lpwstr>
  </property>
  <property fmtid="{D5CDD505-2E9C-101B-9397-08002B2CF9AE}" pid="352" name="ETQ_CHECKLIST_QUESTIONS.ETQ_CHECKLIST_QUESTION_HINT#7">
    <vt:lpwstr>The organisation has competent resources who undertake quality and food safety activities in place to ensure the operation and continuous improvement of the Q&amp;FS management system._x000d_
These skilled resources are required to ensure product and service quality so that customer satisfaction is achieved._x000d_
Competency is demonstrated by personal undertaking Q&amp;FS activities confirming how to undertake the activity and why it is done._x000d_
Organizational knowledge is maintained in a way that gives access to relevant personal and would not be lost as a result of personal turn over or IT issues._x000d_
An organisational chart that describes the resources allocated to Q&amp;FS activities is maintained with contingencies described to cover for key personnel. _x000d_
The deployment of adequate and competent resources undertaking quality activities is an important determinant of a strong quality culture._x000d_
_x000d_
Evidence:-_x000d_
* Training records for operators/ contractors covering operating procedures for their roles including HACCP (Food Safety Plan), food safety training and CCP/OPRPs_x000d_
* Validation of training (check &amp; sign off) to demonstrate competency_x000d_
* Skills matrices by area to record competencies and to identify gaps in knowledge on a particular area/shift_x000d_
* A transition and succession plan with backs up trained._x000d_
* Evidence of knowledge gained from experiences, i.e. lessons learned from failures or successful projects; either internal or external, formal or informal._x000d_
* Management Review actions, internal audit schedule, and action closeout are completed in a timely manner, that might be indicative of adequate or competent resourcing.</vt:lpwstr>
  </property>
  <property fmtid="{D5CDD505-2E9C-101B-9397-08002B2CF9AE}" pid="353" name="ETQ_CHECKLIST_DOCUMENT.AM_CD_ELEMENT_D#52">
    <vt:lpwstr>GMP 12.1 Warehousing - General Requirements</vt:lpwstr>
  </property>
  <property fmtid="{D5CDD505-2E9C-101B-9397-08002B2CF9AE}" pid="354" name="ETQ_CHECKLIST_QUESTIONS.ETQ_CHECKLIST_QUESTION_PREVIOUS_COMMENTS#22">
    <vt:lpwstr>      </vt:lpwstr>
  </property>
  <property fmtid="{D5CDD505-2E9C-101B-9397-08002B2CF9AE}" pid="355" name="ETQ_CHECKLIST_QUESTIONS.ETQ_CHECKLIST_QUESTION_CLASSIFICATION#41">
    <vt:lpwstr>      </vt:lpwstr>
  </property>
  <property fmtid="{D5CDD505-2E9C-101B-9397-08002B2CF9AE}" pid="356" name="ETQ_CHECKLIST_QUESTIONS.ETQ_CHECKLIST_QUESTION_PREVIOUS_COMMENTS#27">
    <vt:lpwstr>      </vt:lpwstr>
  </property>
  <property fmtid="{D5CDD505-2E9C-101B-9397-08002B2CF9AE}" pid="357" name="ETQ_CHECKLIST_QUESTIONS.ETQ_CHECKLIST_QUESTION_PREVIOUS_COMMENTS#15">
    <vt:lpwstr>      </vt:lpwstr>
  </property>
  <property fmtid="{D5CDD505-2E9C-101B-9397-08002B2CF9AE}" pid="358" name="ETQ_CHECKLIST_QUESTIONS.ETQ_CHECKLIST_QUESTION_CLASSIFICATION#59">
    <vt:lpwstr>      </vt:lpwstr>
  </property>
  <property fmtid="{D5CDD505-2E9C-101B-9397-08002B2CF9AE}" pid="359" name="ETQ_CHECKLIST_QUESTIONS.ETQ_CHECKLIST_QUESTION_QUESTION#55">
    <vt:lpwstr>There is a process to control the receipt, integrity, sub-sampling,movement, storage and disposal of Test Items at all stages of the testing process.</vt:lpwstr>
  </property>
  <property fmtid="{D5CDD505-2E9C-101B-9397-08002B2CF9AE}" pid="360" name="ETQ_CHECKLIST_DOCUMENT.AM_CD_ELEMENT_D#22">
    <vt:lpwstr>QMPv3 9.5.7.1 Product-Related Incident Management and Recall</vt:lpwstr>
  </property>
  <property fmtid="{D5CDD505-2E9C-101B-9397-08002B2CF9AE}" pid="361" name="ETQ_CHECKLIST_QUESTIONS.ETQ_CHECKLIST_QUESTION_COMMENTS#52">
    <vt:lpwstr>      </vt:lpwstr>
  </property>
  <property fmtid="{D5CDD505-2E9C-101B-9397-08002B2CF9AE}" pid="362" name="ETQ_CHECKLIST_QUESTIONS.ETQ_CHECKLIST_QUESTION_COMMENTS#11">
    <vt:lpwstr>      </vt:lpwstr>
  </property>
  <property fmtid="{D5CDD505-2E9C-101B-9397-08002B2CF9AE}" pid="363" name="ETQ_CHECKLIST_QUESTIONS.ETQ_CHECKLIST_QUESTION_QUESTION#20">
    <vt:lpwstr>Release of products / services_x000d_
_x000d_
The goods / services meet specification prior to release to Mars.</vt:lpwstr>
  </property>
  <property fmtid="{D5CDD505-2E9C-101B-9397-08002B2CF9AE}" pid="364" name="ETQ_CHECKLIST_DOCUMENT.AM_CD_ELEMENT_D#26">
    <vt:lpwstr>HACCP 5.2 Planning and Realisation of Safe Products - Pre-requisite Programmes (PRPs )</vt:lpwstr>
  </property>
  <property fmtid="{D5CDD505-2E9C-101B-9397-08002B2CF9AE}" pid="365" name="ETQ_CHECKLIST_QUESTIONS.ETQ_CHECKLIST_QUESTION_PREVIOUS_COMMENTS#19">
    <vt:lpwstr>      </vt:lpwstr>
  </property>
  <property fmtid="{D5CDD505-2E9C-101B-9397-08002B2CF9AE}" pid="366" name="ETQ_CHECKLIST_QUESTIONS.ETQ_CHECKLIST_QUESTION_CLASSIFICATION#5">
    <vt:lpwstr>      </vt:lpwstr>
  </property>
  <property fmtid="{D5CDD505-2E9C-101B-9397-08002B2CF9AE}" pid="367" name="ETQ_CHECKLIST_QUESTIONS.ETQ_CHECKLIST_QUESTION_HINT#44">
    <vt:lpwstr>Programmes to prevent, control and detect contamination must be in place._x000d_
_x000d_
Microbiological cross-contamination: areas where potential risks exist have to be identified and a plan established:_x000d_
a) separation of raws from finished products._x000d_
b) structural segregation (physical barriers, walls or separate buildings)._x000d_
c) access controls with requirements to change into required work wear._x000d_
d) traffic patterns or equipment segregation (people, materials, equipment and tools - including use of dedicated tools)._x000d_
e) air pressure differentials._x000d_
_x000d_
Microbiological Environmental and process monitoring programmes must be in place to provide traceability in case of microbiological contamination._x000d_
_x000d_
Microbiological specifications must be available for reference where microbiological checks are performed. Those must include action limits and testing methods._x000d_
Evidence:_x000d_
* Check that Environmental Monitoring Plan (EMP)  is documented and frequency is defined based in risk assessment or historical data. SOP must include frequency of testing, who is responsible, how samples are taken, corrective actions to complete for OOS indicator and pathogen results, escalations when a pathogen is detected in environment or finished product. EMP shall encompass the entire operation,  and the samples must be collected by a trained collector on differnt days of the week, shifts, times with the target to detect bacterial niches. _x000d_
* Check that environmental program includes surfaces-swabbing, air monitoring, water monitoring, compressed air monitoring, clothing/people _x000d_
Check that appropriate utensils are used to collect environmental samples. Mars prefer to use sponges vs cotton swabs for pathogen testing. Cotton swabs shall be use for sampling hard to reach tiny surfaces (e.g. holes, crevices)_x000d_
Target swab surface area should be not less than 10x10cm with exception of smaller areas or parts. _x000d_
* Check zones defined by supplier using a risk assessment or historical information  and review environmental Monitoring Plan  results by zones _x000d_
* Check that acceptable limits are established and corrective and preventive actions are conducted when OOS is reported. Acceptable limits must be representative of bacterial levels observed under normal operational conditions and be based on historical results or a baseline study.  _x000d_
* Check that trend analysis for results generated by the EMP is available _x000d_
During the site  visit check:_x000d_
* Personnel practices that could represent a micro risk do not occur e.g. people wash hands when needed it, if personnel touch non food contact surfaces and washes hands prior to touch any food / ingredient / process equipment, hand wash occur between changing gloves_x000d_
* Air Pressure differential (if applicable)_x000d_
* Adequate separation between raw and finish product and adequate people, ingredients, equipment, waste flows to prevent cross contamination</vt:lpwstr>
  </property>
  <property fmtid="{D5CDD505-2E9C-101B-9397-08002B2CF9AE}" pid="368" name="ETQ_CHECKLIST_QUESTIONS.ETQ_CHECKLIST_QUESTION_CLASSIFICATION#1">
    <vt:lpwstr>      </vt:lpwstr>
  </property>
  <property fmtid="{D5CDD505-2E9C-101B-9397-08002B2CF9AE}" pid="369" name="ETQ_CHECKLIST_QUESTIONS.ETQ_CHECKLIST_QUESTION_PREVIOUS_COMMENTS#42">
    <vt:lpwstr>      </vt:lpwstr>
  </property>
  <property fmtid="{D5CDD505-2E9C-101B-9397-08002B2CF9AE}" pid="370" name="ETQ_CHECKLIST_QUESTIONS.ETQ_CHECKLIST_QUESTION_QUESTION#60">
    <vt:lpwstr>Results are formally authorised at both laboratory (technical) and management level prior to reporting to Mars. _x000d_
Out of specification results are managed using defined impartial, logical and appropriate rules.</vt:lpwstr>
  </property>
  <property fmtid="{D5CDD505-2E9C-101B-9397-08002B2CF9AE}" pid="371" name="ETQ_CHECKLIST_QUESTIONS.ETQ_CHECKLIST_QUESTION_CLASSIFICATION#66">
    <vt:lpwstr>      </vt:lpwstr>
  </property>
  <property fmtid="{D5CDD505-2E9C-101B-9397-08002B2CF9AE}" pid="372" name="ETQ_CHECKLIST_QUESTIONS.ETQ_CHECKLIST_QUESTION_COMMENTS#50">
    <vt:lpwstr>      </vt:lpwstr>
  </property>
  <property fmtid="{D5CDD505-2E9C-101B-9397-08002B2CF9AE}" pid="373" name="ETQ_CHECKLIST_QUESTIONS.ETQ_CHECKLIST_QUESTION_PREVIOUS_COMMENTS#4">
    <vt:lpwstr>      </vt:lpwstr>
  </property>
  <property fmtid="{D5CDD505-2E9C-101B-9397-08002B2CF9AE}" pid="374" name="ETQ_CHECKLIST_QUESTIONS.ETQ_CHECKLIST_QUESTION_CLASSIFICATION#54">
    <vt:lpwstr>      </vt:lpwstr>
  </property>
  <property fmtid="{D5CDD505-2E9C-101B-9397-08002B2CF9AE}" pid="375" name="ETQ_CHECKLIST_DOCUMENT.AM_CD_ELEMENT_D#67">
    <vt:lpwstr>QMPv3 9.7.2 Correction, Corrective Action and Preventive Action (CAPA) Process</vt:lpwstr>
  </property>
  <property fmtid="{D5CDD505-2E9C-101B-9397-08002B2CF9AE}" pid="376" name="ETQ_CHECKLIST_QUESTIONS.ETQ_CHECKLIST_QUESTION_PREVIOUS_COMMENTS#44">
    <vt:lpwstr>      </vt:lpwstr>
  </property>
  <property fmtid="{D5CDD505-2E9C-101B-9397-08002B2CF9AE}" pid="377" name="ETQ_CHECKLIST_QUESTIONS.ETQ_CHECKLIST_QUESTION_HINT#14">
    <vt:lpwstr>The validated process instructions are described and the process operates correctly._x000d_
Management and operators understand the process controls and the adjustments to enable the product to be maintained within specification._x000d_
Important process parameters are monitored to verify that the process is operating as intended, in a consistent and stable manor and that adjustments to the process do maintain the product within specified tolerances.  _x000d_
Reviews are conducted to confirm that the process is  capable of providing product that consistently meets key quality parameters of the specification._x000d_
The process inputs operate consistently (operating conditions) and are documented with appropriate tolerances and escalation triggers._x000d_
_x000d_
Evidence:-_x000d_
* Process capability studies to demonstrate that material variations are controlled_x000d_
* That operating conditions are monitored and an escalation process is in place._x000d_
* Operating instructions.  _x000d_
* Monitoring and measuring activities of the process and the product._x000d_
* Availability of competent and trained operations personal _x000d_
* Corrections and actions in response to equipment malfunction or out-of-control or out-of-conformance results.</vt:lpwstr>
  </property>
  <property fmtid="{D5CDD505-2E9C-101B-9397-08002B2CF9AE}" pid="378" name="ETQ_CHECKLIST_DOCUMENT.AM_CD_ELEMENT_D#54">
    <vt:lpwstr>MQM 3.2.1. Acceptable Laboratory Data Document Control and Test Methods</vt:lpwstr>
  </property>
  <property fmtid="{D5CDD505-2E9C-101B-9397-08002B2CF9AE}" pid="379" name="ETQ_CHECKLIST_QUESTIONS.ETQ_CHECKLIST_QUESTION_HINT#10">
    <vt:lpwstr>Effective internal and external communication processes are  in place ensuring that Quality policy and objectives are shared with personal.  _x000d_
Interactions and communications include; being observed in the operation demonstrating leadership, quality work, quality performance, changes to regulations, and Q&amp;FS practices &amp; procedures.  _x000d_
Communications are undertaken in an effective and timely manner, particularly for relevant food safety changes _x000d_
_x000d_
Evidence:-_x000d_
That communication related to change has reached the target employees and has been understood and is followed._x000d_
Frequency and content of business townhalls_x000d_
Content and how up to date notice board communications are._x000d_
Frequency and content of daily operations communication meetings.</vt:lpwstr>
  </property>
  <property fmtid="{D5CDD505-2E9C-101B-9397-08002B2CF9AE}" pid="380" name="ETQ_CHECKLIST_DOCUMENT.AM_CD_ELEMENT_D#19">
    <vt:lpwstr>QMPv3 9.5.5.6. Control of change  Design and Development Changes</vt:lpwstr>
  </property>
  <property fmtid="{D5CDD505-2E9C-101B-9397-08002B2CF9AE}" pid="381" name="ETQ_CHECKLIST_QUESTIONS.ETQ_CHECKLIST_QUESTION_HINT#36">
    <vt:lpwstr>There must be a verification plan with activities, purpose, methods, frequencies and responsibilities to confirm the FSMP is implemented and effective and hazard levels are within identified acceptable levels._x000d_
_x000d_
Verification results must be recorded and communicated to the Food Safety Team. _x000d_
_x000d_
If programme verification is based on testing of finished product samples and where this shows non-conformity  the affected product must be handled as potentially unsafe._x000d_
_x000d_
_x000d_
Evidence:-_x000d_
* Look at the planned verification activities for the FSMP. _x000d_
* Check the verification planned is appropriate for  each of the CCPs ,  OPRPs,  CP's and PRP's identified._x000d_
* Check the verification frequency is appropriate._x000d_
* Check the documented verification results and analysis._x000d_
* Check how any non conformances are managed._x000d_
_x000d_
_x000d_
Evidence:-_x000d_
* Look at the planned verification activities for the FSMP. _x000d_
* Check the verification planned is appropriate for the CCPs and OPRPs identified._x000d_
* Check the verification frequency is appropriate._x000d_
* Check the documented verification results and analysis._x000d_
* Check how any non conformances are managed.</vt:lpwstr>
  </property>
  <property fmtid="{D5CDD505-2E9C-101B-9397-08002B2CF9AE}" pid="382" name="ETQ_CHECKLIST_QUESTIONS.ETQ_CHECKLIST_QUESTION_HINT#66">
    <vt:lpwstr>The organization shall continually improve the suitability, adequacy and effectiveness of the Q &amp;FS system. _x000d_
The supplier must have  continuous improvement  projects to address the priorities identified in the management request and quality and food safety management system review. _x000d_
Projects must have a clear target and objectives to meet, and ideally base on structured project management principles such as PDCA etc._x000d_
_x000d_
Actions related to the Continuous Improvement (CI)  program should have defined responsibilities and timescales. All actions taken as a result of the CI program should be reviewed for effectiveness._x000d_
_x000d_
_x000d_
Evidence  : _x000d_
*Review CI project documentation to check for clear targets , measured etc._x000d_
*CI project information available and published ( i.e.. Senior management  communication , notice boards ) _x000d_
*Training and competency on CI project management tools (6 sigma) _x000d_
_x000d_
PDCA: Plan–Do–Check–Act</vt:lpwstr>
  </property>
  <property fmtid="{D5CDD505-2E9C-101B-9397-08002B2CF9AE}" pid="383" name="ETQ_CHECKLIST_QUESTIONS.ETQ_CHECKLIST_QUESTION_COMMENTS#27">
    <vt:lpwstr>      </vt:lpwstr>
  </property>
  <property fmtid="{D5CDD505-2E9C-101B-9397-08002B2CF9AE}" pid="384" name="ETQ_CHECKLIST_QUESTIONS.ETQ_CHECKLIST_QUESTION_QUESTION#65">
    <vt:lpwstr>Internal Audit_x000d_
_x000d_
Regular internal audits are completed on the critical elements of the Quality and Food safety management system to ensure its effectiveness</vt:lpwstr>
  </property>
  <property fmtid="{D5CDD505-2E9C-101B-9397-08002B2CF9AE}" pid="385" name="ETQ_CHECKLIST_QUESTIONS.ETQ_CHECKLIST_QUESTION_PREVIOUS_COMMENTS#5">
    <vt:lpwstr>      </vt:lpwstr>
  </property>
  <property fmtid="{D5CDD505-2E9C-101B-9397-08002B2CF9AE}" pid="386" name="ETQ_CHECKLIST_QUESTIONS.ETQ_CHECKLIST_QUESTION_QUESTION#40">
    <vt:lpwstr>Layout of premises and workspace_x000d_
_x000d_
The internal layout allows for good hygienic manufacturing practices, including the movement of materials, products and people.</vt:lpwstr>
  </property>
  <property fmtid="{D5CDD505-2E9C-101B-9397-08002B2CF9AE}" pid="387" name="ETQ_CHECKLIST_QUESTIONS.ETQ_CHECKLIST_QUESTION_PREVIOUS_COMMENTS#67">
    <vt:lpwstr>      </vt:lpwstr>
  </property>
  <property fmtid="{D5CDD505-2E9C-101B-9397-08002B2CF9AE}" pid="388" name="ETQ_CHECKLIST_QUESTIONS.ETQ_CHECKLIST_QUESTION_QUESTION#1">
    <vt:lpwstr>Management Leadership and commitment_x000d_
_x000d_
Management demonstrates visible accountability , leadership and commitment</vt:lpwstr>
  </property>
  <property fmtid="{D5CDD505-2E9C-101B-9397-08002B2CF9AE}" pid="389" name="ETQ_CHECKLIST_QUESTIONS.ETQ_CHECKLIST_QUESTION_PREVIOUS_COMMENTS#45">
    <vt:lpwstr>      </vt:lpwstr>
  </property>
  <property fmtid="{D5CDD505-2E9C-101B-9397-08002B2CF9AE}" pid="390" name="ETQ_CHECKLIST_QUESTIONS.ETQ_CHECKLIST_QUESTION_COMMENTS#6">
    <vt:lpwstr>      </vt:lpwstr>
  </property>
  <property fmtid="{D5CDD505-2E9C-101B-9397-08002B2CF9AE}" pid="391" name="ETQ_CHECKLIST_DOCUMENT.AM_CD_ELEMENT_D#35">
    <vt:lpwstr>HACCP 5.6.4 Establishing the HACCP Plan -System for the Monitoring of Critical Control Points</vt:lpwstr>
  </property>
  <property fmtid="{D5CDD505-2E9C-101B-9397-08002B2CF9AE}" pid="392" name="ETQ_CHECKLIST_QUESTIONS.ETQ_CHECKLIST_QUESTION_HINT#15">
    <vt:lpwstr>Verification activities are performed to ensure that the inputs of the process consistently meet the specified outputs of the process.  _x000d_
Verification activities, including; quality assessment, testing results, line losses, assessment of operating instructions, assessing customer feedback are formally undertaken and reviewed._x000d_
Where verification evidence indicates that the process has not met specified outputs, appropriate action is required to correct the issue.   _x000d_
_x000d_
Evidence_x000d_
Verification of the Process Monitoring for Food Safety and quality Parameters is done at set frequency_x000d_
Records for the verifications are available (and signed by authorised personnel where required)_x000d_
When applicable, corrective actions are documented_x000d_
* Product non-conformances_x000d_
* Customer complaints</vt:lpwstr>
  </property>
  <property fmtid="{D5CDD505-2E9C-101B-9397-08002B2CF9AE}" pid="393" name="ETQ_CHECKLIST_QUESTIONS.ETQ_CHECKLIST_QUESTION_PREVIOUS_COMMENTS#51">
    <vt:lpwstr>      </vt:lpwstr>
  </property>
  <property fmtid="{D5CDD505-2E9C-101B-9397-08002B2CF9AE}" pid="394" name="ETQ_CHECKLIST_DOCUMENT.AM_CD_ELEMENT_D#40">
    <vt:lpwstr>GMP 02.1 Layout of Premises and Workspace - General Requirements</vt:lpwstr>
  </property>
  <property fmtid="{D5CDD505-2E9C-101B-9397-08002B2CF9AE}" pid="395" name="ETQ_CHECKLIST_QUESTIONS.ETQ_CHECKLIST_QUESTION_HINT#67">
    <vt:lpwstr>Correction, Corrective Action and Preventive Action (CAPA) Process_x000d_
Corrective Action and correction actions  must be taken to correct non-conformities through the implementation of appropriate actions to contain and manage the issue._x000d_
Preventative Actions are taken to reduce the chance of potential Q&amp;FS non conformances._x000d_
The supplier must identify the appropriate actions to take when any Food Safety and/or quality non conformity is detected ( correction or corrective action ) or when a potential non conformity or an opportunity for improvement is discovered (preventive actions) ._x000d_
For a corrective action, it is expected that the supplier looks as the  problem that has resulted in a nonconformity, and investigate the causes of that problem until the cause is understood – which was the start of the chain that resulted in the nonconformity (known as the root cause) – and actions taken to  correct this root cause so that it cannot happen again._x000d_
_x000d_
Supplier must develop a documented program to eliminate the cause of Food Safety and quality non conformance in order to prevent recurrence_x000d_
_x000d_
Evidence: _x000d_
Review examples of CAPA_x000d_
*Check that Procedures for management of Non Conformances and CAPA is  documented_x000d_
*Check that a robust root cause analysis was undertaken for each non-conformity requiring corrective action and that it adequately addressed the non-conformity and effectiveness are reviewed , measured and monitored_x000d_
*Have associates undertaking root cause analysis been trained in appropriate root cause analysis techniques/methodologies? _x000d_
*Check if there are repeat issues with the same root cause to validate effectiveness._x000d_
* Check that supplier keep a track of NC and CAPAs generated _x000d_
* if Mars has a S-CAPA or NC generated for the supplier you are auditing's check that is in the tracker, the root cause is documented and that all established actions were implemented, effectiveness  verified and timely closed_x000d_
*Determine if appropriate and effective actions are taken in accordance to the degree of the risk _x000d_
*Are  CAPA's are being closed within specific timelines  and an owner identified _x000d_
*Documented and  communicated as required effectively</vt:lpwstr>
  </property>
  <property fmtid="{D5CDD505-2E9C-101B-9397-08002B2CF9AE}" pid="396" name="ETQ_CHECKLIST_QUESTIONS.ETQ_CHECKLIST_QUESTION_HINT#4">
    <vt:lpwstr>As appropriate for the industry, Vulnerability and Focused Mitigation Measures are required.  This includes: _x000d_
- Actionable process steps must be identified through a documented food defence vulnerability (threat) assessment mapped out for the entire supply chain. There must be clear and consistent justification for inclusion or exclusion of a process step as an actionable process step. _x000d_
- All actionable process steps must be managed via appropriate mitigation measures. Where feasible, access should be physically restricted by the use of locks, electronic card key or alternative systems._x000d_
- Records must be available as evidence of the monitoring and verification of mitigation measures defined in the food defence plan. _x000d_
- All materials and finished products must be secure at all times while in storage or while being moved through the supply chain._x000d_
_x000d_
Evidence:-_x000d_
* Accessibility and Broad Mitigation Measures_x000d_
Accessibility areas to consider include; security of IT systems, site facilities, transport vehicles, external warehouses, storage and management of confidential information and screening of personnel._x000d_
* Site access should be restricted to appropriate personnel.  Where possible, deliveries should be restricted to core working hours unless by prior arrangement. Access permission should be immediately removed for staff/contractors leaving employment._x000d_
* Has the supplier completed the "Mars Supplier Food Defense Assessment Checklist" prior to the audit? If so follow up on any questions that the supplier has answered with "no" to see what actions are being taken to address this as a potential area of vulnerability</vt:lpwstr>
  </property>
  <property fmtid="{D5CDD505-2E9C-101B-9397-08002B2CF9AE}" pid="397" name="ETQ_CHECKLIST_QUESTIONS.ETQ_CHECKLIST_QUESTION_HINT#2">
    <vt:lpwstr>Roles critical for the delivery of Q&amp;FS (and back ups) are in place within the organisation, with accountabilities and responsibilities clearly defined._x000d_
These roles are filled with appropriately qualified personal.   _x000d_
External personnel that assist with activities that impact Q&amp;FS understand their responsibilities._x000d_
_x000d_
Evidence:-_x000d_
* Organization charts for all management team members and personnel undertaking quality activities._x000d_
* Proof of qualification for quality personal._x000d_
* Competence assessments of Consultants and other externally contracted roles_x000d_
* Deputy roles identified for critical Q&amp;FS activities (such as; quality leader, Training facilitators, food safety team leader, food safety team members, laboratory staff, sampling and assessment personal, continous improvment project leaders and external communication personnel)._x000d_
* Individuals are assigned (named people) and back ups (trained deputy roles) and contingency plans are described.  _x000d_
*HACCP/PCQI training and certification records of responsible associates.</vt:lpwstr>
  </property>
  <property fmtid="{D5CDD505-2E9C-101B-9397-08002B2CF9AE}" pid="398" name="ETQ_CHECKLIST_QUESTIONS.ETQ_CHECKLIST_QUESTION_QUESTION#6">
    <vt:lpwstr>Quality Objectives _x000d_
_x000d_
Management has confirmed measurable objectives for the Q&amp;FS management programme and shows commitment to them and monitors progress.</vt:lpwstr>
  </property>
  <property fmtid="{D5CDD505-2E9C-101B-9397-08002B2CF9AE}" pid="399" name="ETQ_CHECKLIST_QUESTIONS.ETQ_CHECKLIST_QUESTION_COMMENTS#60">
    <vt:lpwstr>      </vt:lpwstr>
  </property>
  <property fmtid="{D5CDD505-2E9C-101B-9397-08002B2CF9AE}" pid="400" name="ETQ_CHECKLIST_DOCUMENT.AM_CD_ELEMENT_D#15">
    <vt:lpwstr>QMPV3 9.5.5.4 Maintaining production integrity</vt:lpwstr>
  </property>
  <property fmtid="{D5CDD505-2E9C-101B-9397-08002B2CF9AE}" pid="401" name="ETQ_CHECKLIST_DOCUMENT.AM_CD_ELEMENT_D#20">
    <vt:lpwstr>QMPv3 9.5.6 Release of Products and Deployment of Services incl 9.5.5.2</vt:lpwstr>
  </property>
  <property fmtid="{D5CDD505-2E9C-101B-9397-08002B2CF9AE}" pid="402" name="ETQ_CHECKLIST_QUESTIONS.ETQ_CHECKLIST_QUESTION_CLASSIFICATION#12">
    <vt:lpwstr>      </vt:lpwstr>
  </property>
  <property fmtid="{D5CDD505-2E9C-101B-9397-08002B2CF9AE}" pid="403" name="ETQ_CHECKLIST_QUESTIONS.ETQ_CHECKLIST_QUESTION_HINT#12">
    <vt:lpwstr>A process is in place to receive customer feedback._x000d_
Customer feedback that is important verification of the Q&amp;FS system is recorded, trended and actioned where appropriate._x000d_
Feedback includes compliment, neutral and complaint handling, ensuring receipt of feedback, appropriate investigation / consideration and response to the customer._x000d_
How seriously customer feedback is taken is a good indication of quality culture._x000d_
_x000d_
Evidence:-_x000d_
* Feedback recording_x000d_
* Action on feedback, including complaint investigation, actions, verified closure_x000d_
* Responses to customer feedback in a timely manner_x000d_
* Customer Complaint Management process with documented workflow. _x000d_
* Identification of root cause analysis and CAPA plans that demonstrate the actions have been effective in addressing the complaint._x000d_
Understand how this influences the supplier safety culture.</vt:lpwstr>
  </property>
  <property fmtid="{D5CDD505-2E9C-101B-9397-08002B2CF9AE}" pid="404" name="ETQ_CHECKLIST_QUESTIONS.ETQ_CHECKLIST_QUESTION_CLASSIFICATION#13">
    <vt:lpwstr>      </vt:lpwstr>
  </property>
  <property fmtid="{D5CDD505-2E9C-101B-9397-08002B2CF9AE}" pid="405" name="ETQ_CHECKLIST_QUESTIONS.ETQ_CHECKLIST_QUESTION_CLASSIFICATION#57">
    <vt:lpwstr>      </vt:lpwstr>
  </property>
  <property fmtid="{D5CDD505-2E9C-101B-9397-08002B2CF9AE}" pid="406" name="ETQ_CHECKLIST_QUESTIONS.ETQ_CHECKLIST_QUESTION_QUESTION#61">
    <vt:lpwstr>The analytical report is reviewed and authorised prior to reporting to Mars.</vt:lpwstr>
  </property>
  <property fmtid="{D5CDD505-2E9C-101B-9397-08002B2CF9AE}" pid="407" name="ETQ_CHECKLIST_QUESTIONS.ETQ_CHECKLIST_QUESTION_COMMENTS#57">
    <vt:lpwstr>      </vt:lpwstr>
  </property>
  <property fmtid="{D5CDD505-2E9C-101B-9397-08002B2CF9AE}" pid="408" name="ETQ_CHECKLIST_QUESTIONS.ETQ_CHECKLIST_QUESTION_COMMENTS#3">
    <vt:lpwstr>      </vt:lpwstr>
  </property>
  <property fmtid="{D5CDD505-2E9C-101B-9397-08002B2CF9AE}" pid="409" name="ETQ_CHECKLIST_QUESTIONS.ETQ_CHECKLIST_QUESTION_PREVIOUS_COMMENTS#12">
    <vt:lpwstr>      </vt:lpwstr>
  </property>
  <property fmtid="{D5CDD505-2E9C-101B-9397-08002B2CF9AE}" pid="410" name="ETQ_CHECKLIST_QUESTIONS.ETQ_CHECKLIST_QUESTION_COMMENTS#29">
    <vt:lpwstr>      </vt:lpwstr>
  </property>
  <property fmtid="{D5CDD505-2E9C-101B-9397-08002B2CF9AE}" pid="411" name="ETQ_CHECKLIST_DOCUMENT.AM_CD_ELEMENT_D#42">
    <vt:lpwstr>GMP 04.1 Waste disposal - General Requirements</vt:lpwstr>
  </property>
  <property fmtid="{D5CDD505-2E9C-101B-9397-08002B2CF9AE}" pid="412" name="ETQ_CHECKLIST_QUESTIONS.ETQ_CHECKLIST_QUESTION_COMMENTS#33">
    <vt:lpwstr>      </vt:lpwstr>
  </property>
  <property fmtid="{D5CDD505-2E9C-101B-9397-08002B2CF9AE}" pid="413" name="ETQ_CHECKLIST_QUESTIONS.ETQ_CHECKLIST_QUESTION_CLASSIFICATION#14">
    <vt:lpwstr>      </vt:lpwstr>
  </property>
  <property fmtid="{D5CDD505-2E9C-101B-9397-08002B2CF9AE}" pid="414" name="ETQ_CHECKLIST_QUESTIONS.ETQ_CHECKLIST_QUESTION_QUESTION#2">
    <vt:lpwstr>Accountable and qualified personal_x000d_
 _x000d_
Management has appointed qualified personnel to be accountable for Q&amp;FS.</vt:lpwstr>
  </property>
  <property fmtid="{D5CDD505-2E9C-101B-9397-08002B2CF9AE}" pid="415" name="ETQ_CHECKLIST_DOCUMENT.AM_CD_ELEMENT_D#27">
    <vt:lpwstr>HACCP 5.3.3.1 Preliminary Steps to Enable Hazard Analysis - Product Characteristics - Raws, Ingredients, and Product-contact materials</vt:lpwstr>
  </property>
  <property fmtid="{D5CDD505-2E9C-101B-9397-08002B2CF9AE}" pid="416" name="ETQ_CHECKLIST_DOCUMENT.AM_CD_ELEMENT_D#48">
    <vt:lpwstr>GMP 09.1 Pest Control - General Requirements</vt:lpwstr>
  </property>
  <property fmtid="{D5CDD505-2E9C-101B-9397-08002B2CF9AE}" pid="417" name="ETQ_CHECKLIST_QUESTIONS.ETQ_CHECKLIST_QUESTION_QUESTION#49">
    <vt:lpwstr>Personal hygiene and facilities_x000d_
_x000d_
Personal hygiene programs are effective in managing risk to the process area and product.</vt:lpwstr>
  </property>
  <property fmtid="{D5CDD505-2E9C-101B-9397-08002B2CF9AE}" pid="418" name="OI$ORIGINAL_DOC_ID">
    <vt:lpwstr>17973</vt:lpwstr>
  </property>
  <property fmtid="{D5CDD505-2E9C-101B-9397-08002B2CF9AE}" pid="419" name="ETQ_CHECKLIST_QUESTIONS.ETQ_CHECKLIST_QUESTION_HINT#5">
    <vt:lpwstr>The supplier must have a documented food fraud prevention plan that is supported by their Food Safety Management System._x000d_
A documented  food fraud mitigation plan must exist that specifies the methods by which all identified residual vulnerabilities are to be managed._x000d_
Any food fraud vulnerabilities identified in the Mars MRA (or EMPRA) must be included as an input to the supplier's vulnerability assessment._x000d_
There must be an appropriate level of monitoring and verification of mitigations._x000d_
_x000d_
Evidence:-_x000d_
* Demonstration of a food fraud vulnerability assessment (FFVA) that covers all types of food fraud across the entire supply chain for all materials and products of interest to Mars._x000d_
* Demonstration that the FFVA is updated regularly (at least annually) using a documented approach that considers all factors (such as supply and demand, geopolitical, financial, economic etc) that contribute to food fraud vulnerability. _x000d_
* Demonstration of monitoring &amp; verification of mitigation activities.</vt:lpwstr>
  </property>
  <property fmtid="{D5CDD505-2E9C-101B-9397-08002B2CF9AE}" pid="420" name="ETQ_CHECKLIST_QUESTIONS.ETQ_CHECKLIST_QUESTION_QUESTION#50">
    <vt:lpwstr>Personnel Behaviour_x000d_
_x000d_
Personal hygiene behaviours  are effective in managing risk to the process area and product.</vt:lpwstr>
  </property>
  <property fmtid="{D5CDD505-2E9C-101B-9397-08002B2CF9AE}" pid="421" name="ETQ_CHECKLIST_QUESTIONS.ETQ_CHECKLIST_QUESTION_QUESTION#18">
    <vt:lpwstr>Mars Property_x000d_
_x000d_
Appropriate care is taken for Mars property (incl. Intellectual Property, Equipment &amp; Information).</vt:lpwstr>
  </property>
  <property fmtid="{D5CDD505-2E9C-101B-9397-08002B2CF9AE}" pid="422" name="ETQ_CHECKLIST_QUESTIONS.ETQ_CHECKLIST_QUESTION_CLASSIFICATION#64">
    <vt:lpwstr>      </vt:lpwstr>
  </property>
  <property fmtid="{D5CDD505-2E9C-101B-9397-08002B2CF9AE}" pid="423" name="ETQ_CHECKLIST_QUESTIONS.ETQ_CHECKLIST_QUESTION_QUESTION#17">
    <vt:lpwstr>Supplier Quality Management Program - Specified and verified_x000d_
_x000d_
The goods and services in the supplier quality program are specified and verified as meeting specification.</vt:lpwstr>
  </property>
  <property fmtid="{D5CDD505-2E9C-101B-9397-08002B2CF9AE}" pid="424" name="ETQ_CHECKLIST_QUESTIONS.ETQ_CHECKLIST_QUESTION_CLASSIFICATION#34">
    <vt:lpwstr>      </vt:lpwstr>
  </property>
</Properties>
</file>